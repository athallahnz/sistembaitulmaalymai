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 YMAI\2025\2. BENDAHARA\"/>
    </mc:Choice>
  </mc:AlternateContent>
  <xr:revisionPtr revIDLastSave="0" documentId="13_ncr:1_{AB262EB8-7FB2-45E4-BA34-BBBB773BDB24}" xr6:coauthVersionLast="47" xr6:coauthVersionMax="47" xr10:uidLastSave="{00000000-0000-0000-0000-000000000000}"/>
  <bookViews>
    <workbookView xWindow="-120" yWindow="-120" windowWidth="29040" windowHeight="15720" activeTab="2" xr2:uid="{0D0A46A5-B46C-40E5-A01E-840D4BEB5BED}"/>
  </bookViews>
  <sheets>
    <sheet name="TOTAL DC 2022 - 2025." sheetId="1" r:id="rId1"/>
    <sheet name="Lap Per bln 25" sheetId="3" r:id="rId2"/>
    <sheet name="Olah data" sheetId="2" r:id="rId3"/>
  </sheets>
  <definedNames>
    <definedName name="_xlnm.Print_Area" localSheetId="0">'TOTAL DC 2022 - 2025.'!$A$87:$E$137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9" i="2" l="1"/>
  <c r="W6" i="2"/>
  <c r="W14" i="2"/>
  <c r="U11" i="2"/>
  <c r="U15" i="2"/>
  <c r="U14" i="2"/>
  <c r="U13" i="2"/>
  <c r="U9" i="2"/>
  <c r="U4" i="2"/>
  <c r="U6" i="2" s="1"/>
  <c r="T17" i="2"/>
  <c r="T14" i="2"/>
  <c r="T11" i="2"/>
  <c r="T13" i="2"/>
  <c r="T9" i="2"/>
  <c r="T4" i="2"/>
  <c r="T6" i="2" s="1"/>
  <c r="S11" i="2"/>
  <c r="S17" i="2"/>
  <c r="S16" i="2"/>
  <c r="S15" i="2"/>
  <c r="S14" i="2"/>
  <c r="S13" i="2"/>
  <c r="S9" i="2"/>
  <c r="S4" i="2"/>
  <c r="S6" i="2" s="1"/>
  <c r="R16" i="2"/>
  <c r="R15" i="2"/>
  <c r="R17" i="2"/>
  <c r="R14" i="2"/>
  <c r="R13" i="2"/>
  <c r="R11" i="2"/>
  <c r="R9" i="2"/>
  <c r="R4" i="2"/>
  <c r="R6" i="2" s="1"/>
  <c r="Q17" i="2"/>
  <c r="Q15" i="2"/>
  <c r="Q13" i="2"/>
  <c r="Q11" i="2"/>
  <c r="Q9" i="2"/>
  <c r="Q4" i="2"/>
  <c r="Q6" i="2" s="1"/>
  <c r="V5" i="2"/>
  <c r="V7" i="2"/>
  <c r="V8" i="2"/>
  <c r="P16" i="2"/>
  <c r="P13" i="2"/>
  <c r="P12" i="2"/>
  <c r="P11" i="2"/>
  <c r="P9" i="2"/>
  <c r="P4" i="2"/>
  <c r="P6" i="2" s="1"/>
  <c r="O13" i="2"/>
  <c r="O16" i="2"/>
  <c r="O11" i="2"/>
  <c r="O10" i="2"/>
  <c r="V10" i="2" s="1"/>
  <c r="O9" i="2"/>
  <c r="O4" i="2"/>
  <c r="O6" i="2" s="1"/>
  <c r="N12" i="2"/>
  <c r="N13" i="2"/>
  <c r="V13" i="2" s="1"/>
  <c r="N11" i="2"/>
  <c r="M11" i="2"/>
  <c r="N9" i="2"/>
  <c r="M9" i="2"/>
  <c r="M13" i="2"/>
  <c r="N4" i="2"/>
  <c r="N6" i="2" s="1"/>
  <c r="M15" i="2"/>
  <c r="M14" i="2"/>
  <c r="M4" i="2"/>
  <c r="M6" i="2" s="1"/>
  <c r="E748" i="3"/>
  <c r="D748" i="3"/>
  <c r="F748" i="3" s="1"/>
  <c r="E655" i="3"/>
  <c r="D655" i="3"/>
  <c r="F655" i="3" s="1"/>
  <c r="E577" i="3"/>
  <c r="D577" i="3"/>
  <c r="F577" i="3" s="1"/>
  <c r="E447" i="3"/>
  <c r="D447" i="3"/>
  <c r="F447" i="3" s="1"/>
  <c r="E348" i="3"/>
  <c r="D348" i="3"/>
  <c r="F348" i="3" s="1"/>
  <c r="E238" i="3"/>
  <c r="D238" i="3"/>
  <c r="F238" i="3" s="1"/>
  <c r="E165" i="3"/>
  <c r="D165" i="3"/>
  <c r="F165" i="3" s="1"/>
  <c r="E113" i="3"/>
  <c r="D113" i="3"/>
  <c r="F113" i="3" s="1"/>
  <c r="E56" i="3"/>
  <c r="D56" i="3"/>
  <c r="F56" i="3" s="1"/>
  <c r="D135" i="1"/>
  <c r="U19" i="2" l="1"/>
  <c r="V16" i="2"/>
  <c r="V12" i="2"/>
  <c r="V15" i="2"/>
  <c r="V11" i="2"/>
  <c r="V17" i="2"/>
  <c r="V14" i="2"/>
  <c r="T19" i="2"/>
  <c r="S19" i="2"/>
  <c r="R19" i="2"/>
  <c r="Q19" i="2"/>
  <c r="N19" i="2"/>
  <c r="V6" i="2"/>
  <c r="V9" i="2"/>
  <c r="V4" i="2"/>
  <c r="P19" i="2"/>
  <c r="O19" i="2"/>
  <c r="M19" i="2"/>
  <c r="E748" i="2"/>
  <c r="D748" i="2"/>
  <c r="E655" i="2"/>
  <c r="D655" i="2"/>
  <c r="E577" i="2"/>
  <c r="D577" i="2"/>
  <c r="E447" i="2"/>
  <c r="D447" i="2"/>
  <c r="E348" i="2"/>
  <c r="D348" i="2"/>
  <c r="V19" i="2" l="1"/>
  <c r="F577" i="2"/>
  <c r="F748" i="2"/>
  <c r="F447" i="2"/>
  <c r="F655" i="2"/>
  <c r="F348" i="2"/>
  <c r="E100" i="1" l="1"/>
  <c r="E99" i="1"/>
  <c r="E98" i="1"/>
  <c r="E97" i="1"/>
  <c r="E96" i="1"/>
  <c r="E38" i="1" l="1"/>
  <c r="C51" i="1" l="1"/>
  <c r="D127" i="1"/>
  <c r="D136" i="1" s="1"/>
  <c r="D118" i="1"/>
  <c r="D104" i="1"/>
  <c r="D110" i="1" s="1"/>
  <c r="C104" i="1"/>
  <c r="C110" i="1" s="1"/>
  <c r="E110" i="1" s="1"/>
  <c r="E95" i="1"/>
  <c r="E94" i="1"/>
  <c r="E93" i="1"/>
  <c r="E92" i="1"/>
  <c r="E91" i="1"/>
  <c r="D79" i="1"/>
  <c r="D84" i="1" s="1"/>
  <c r="C79" i="1"/>
  <c r="C84" i="1" s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D51" i="1"/>
  <c r="D58" i="1" s="1"/>
  <c r="C58" i="1"/>
  <c r="E50" i="1"/>
  <c r="E49" i="1"/>
  <c r="E48" i="1"/>
  <c r="E47" i="1"/>
  <c r="E46" i="1"/>
  <c r="E45" i="1"/>
  <c r="E44" i="1"/>
  <c r="E43" i="1"/>
  <c r="E42" i="1"/>
  <c r="E41" i="1"/>
  <c r="E40" i="1"/>
  <c r="E39" i="1"/>
  <c r="D19" i="1"/>
  <c r="D26" i="1" s="1"/>
  <c r="C19" i="1"/>
  <c r="C26" i="1" s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51" i="1" l="1"/>
  <c r="E104" i="1"/>
  <c r="E26" i="1"/>
  <c r="E58" i="1"/>
  <c r="E79" i="1"/>
  <c r="E84" i="1"/>
  <c r="E19" i="1"/>
  <c r="E238" i="2"/>
  <c r="D238" i="2"/>
  <c r="E165" i="2"/>
  <c r="D165" i="2"/>
  <c r="E113" i="2"/>
  <c r="D113" i="2"/>
  <c r="E56" i="2"/>
  <c r="D56" i="2"/>
  <c r="F56" i="2" l="1"/>
  <c r="F113" i="2"/>
  <c r="F165" i="2"/>
  <c r="F238" i="2"/>
</calcChain>
</file>

<file path=xl/sharedStrings.xml><?xml version="1.0" encoding="utf-8"?>
<sst xmlns="http://schemas.openxmlformats.org/spreadsheetml/2006/main" count="1674" uniqueCount="489">
  <si>
    <t>DAY CARE AL IMAN TAHUN 2025</t>
  </si>
  <si>
    <t>NO</t>
  </si>
  <si>
    <t>BULAN</t>
  </si>
  <si>
    <t>PEMASUKAN</t>
  </si>
  <si>
    <t>PENGELUARAN</t>
  </si>
  <si>
    <t>SALDO</t>
  </si>
  <si>
    <t>JANUARI 2025</t>
  </si>
  <si>
    <t>FEBRUARI 2025</t>
  </si>
  <si>
    <t>MARET 2025</t>
  </si>
  <si>
    <t>APRIL 2025</t>
  </si>
  <si>
    <t>MEI 2025</t>
  </si>
  <si>
    <t>JUNI 2025</t>
  </si>
  <si>
    <t>JULI 2025</t>
  </si>
  <si>
    <t>AGUSTUS 2025</t>
  </si>
  <si>
    <t>SEPTEMBER 2025</t>
  </si>
  <si>
    <t>OKTOBER 2025</t>
  </si>
  <si>
    <t>NOVEMBER 2025</t>
  </si>
  <si>
    <t>DESEMBER 2025</t>
  </si>
  <si>
    <t xml:space="preserve">JUMLAH </t>
  </si>
  <si>
    <t xml:space="preserve">LAPORAN PEMASUKAN &amp; PENGELUARAN UANG DAY CARE AL IMAN </t>
  </si>
  <si>
    <t>BULAN JANUARI 2025</t>
  </si>
  <si>
    <t>TANGGAL</t>
  </si>
  <si>
    <t>NAMA</t>
  </si>
  <si>
    <t>DEBET</t>
  </si>
  <si>
    <t>KREDIT</t>
  </si>
  <si>
    <t>ELSA</t>
  </si>
  <si>
    <t>RARA</t>
  </si>
  <si>
    <t>SARAH</t>
  </si>
  <si>
    <t>RAFA</t>
  </si>
  <si>
    <t>NAYNA</t>
  </si>
  <si>
    <t>SATYA</t>
  </si>
  <si>
    <t>RANIA</t>
  </si>
  <si>
    <t>ALMIRA</t>
  </si>
  <si>
    <t>ZUNA</t>
  </si>
  <si>
    <t>KANAYA</t>
  </si>
  <si>
    <t>KHADIJAH</t>
  </si>
  <si>
    <t>ARSENIO</t>
  </si>
  <si>
    <t>RAQUEL</t>
  </si>
  <si>
    <t>RAFASETYO</t>
  </si>
  <si>
    <t>AQNIA</t>
  </si>
  <si>
    <t>THORIQ</t>
  </si>
  <si>
    <t>IBRAHIM</t>
  </si>
  <si>
    <t>KAUSAR</t>
  </si>
  <si>
    <t>LAZWAN</t>
  </si>
  <si>
    <t>FIORELA</t>
  </si>
  <si>
    <t>ARSHAKA</t>
  </si>
  <si>
    <t>ARUMI</t>
  </si>
  <si>
    <t>GAVIEN</t>
  </si>
  <si>
    <t>JORDAN</t>
  </si>
  <si>
    <t>KINARA</t>
  </si>
  <si>
    <t>Gaji Bu Pitri</t>
  </si>
  <si>
    <t>Gaji Bu Siti</t>
  </si>
  <si>
    <t>Gaji Bu Bu Ina</t>
  </si>
  <si>
    <t>Gaji Bu Bu Syarifah</t>
  </si>
  <si>
    <t>Cuci sprei</t>
  </si>
  <si>
    <t>Catering guru</t>
  </si>
  <si>
    <t>Catering Anak</t>
  </si>
  <si>
    <t>Super pell 2</t>
  </si>
  <si>
    <t>Sabun cuci piring 2</t>
  </si>
  <si>
    <t>Karbol</t>
  </si>
  <si>
    <t>Sabun cuci baju</t>
  </si>
  <si>
    <t>Beras 5 kg</t>
  </si>
  <si>
    <t>Pewangi sprei</t>
  </si>
  <si>
    <t>Porstek besar</t>
  </si>
  <si>
    <t>Kresek kcil</t>
  </si>
  <si>
    <t>Baygon</t>
  </si>
  <si>
    <t>Printer</t>
  </si>
  <si>
    <t>Cuci AC 4 @ 75.000</t>
  </si>
  <si>
    <t>Air isi ulang</t>
  </si>
  <si>
    <t>Barang plastik 9 @ 7.000</t>
  </si>
  <si>
    <t>Isolasi , nota</t>
  </si>
  <si>
    <t>TOTAL</t>
  </si>
  <si>
    <t>Surabaya, 31 Januari 2025</t>
  </si>
  <si>
    <t>Penanggung jawab</t>
  </si>
  <si>
    <t>Bendahara</t>
  </si>
  <si>
    <t>Varin Wildania</t>
  </si>
  <si>
    <t>Riani</t>
  </si>
  <si>
    <t>BULAN FEBRUARI 2025</t>
  </si>
  <si>
    <t>ARZANA</t>
  </si>
  <si>
    <t>Tas Kresek</t>
  </si>
  <si>
    <t>Vixal 2</t>
  </si>
  <si>
    <t>Beras 15 kg</t>
  </si>
  <si>
    <t>Kegiatan stimulasi</t>
  </si>
  <si>
    <t>Membuat buku pengamatan</t>
  </si>
  <si>
    <t>Air club</t>
  </si>
  <si>
    <t>Air asli &amp; isi ulang</t>
  </si>
  <si>
    <t>Home visit Rafa di RSUA</t>
  </si>
  <si>
    <t>Surabaya, 28 Februari 2025</t>
  </si>
  <si>
    <t>BULAN MARET 2025</t>
  </si>
  <si>
    <t>NAURA</t>
  </si>
  <si>
    <t>AGHNIA</t>
  </si>
  <si>
    <t>THR 4 Pengasuh Day Care</t>
  </si>
  <si>
    <t>SOS lantai jumbo</t>
  </si>
  <si>
    <t>Air</t>
  </si>
  <si>
    <t>Beras</t>
  </si>
  <si>
    <t>Buka bersama 5 orang</t>
  </si>
  <si>
    <t>DP Design interior</t>
  </si>
  <si>
    <t>Surabaya, 31 Maret 2025</t>
  </si>
  <si>
    <t>BULAN APRIL 2025</t>
  </si>
  <si>
    <t>NAYANA</t>
  </si>
  <si>
    <t>NAAYRA</t>
  </si>
  <si>
    <t>FATIMAH</t>
  </si>
  <si>
    <t>AIRA</t>
  </si>
  <si>
    <t>ATHAKA</t>
  </si>
  <si>
    <t>Visal 2</t>
  </si>
  <si>
    <t>Bakso &amp; es 6 orang bersih-bersih</t>
  </si>
  <si>
    <t>2 kg kresek besar &amp;</t>
  </si>
  <si>
    <t>2 kg kresek kecil</t>
  </si>
  <si>
    <t>Air club 2 galon</t>
  </si>
  <si>
    <t>Beras 10 kg</t>
  </si>
  <si>
    <t>Teraso &amp; ongkir</t>
  </si>
  <si>
    <t>Bakso &amp; es 2 tukang</t>
  </si>
  <si>
    <t>Operasional BBM</t>
  </si>
  <si>
    <t>Baterai termometer</t>
  </si>
  <si>
    <t>Kegiatan halal bi halal</t>
  </si>
  <si>
    <t>Rok Pengasuh @ 68.000</t>
  </si>
  <si>
    <t>Ikea = piring, gelas, jam diding dll</t>
  </si>
  <si>
    <t>Belanja di Arlisah</t>
  </si>
  <si>
    <t>serbet, keset, penebah dll</t>
  </si>
  <si>
    <t>BBM + Gocar</t>
  </si>
  <si>
    <t>As-Ico rak kamar mandi</t>
  </si>
  <si>
    <t>alat pel 2</t>
  </si>
  <si>
    <t>Makan 3 orang</t>
  </si>
  <si>
    <t>Design Pak Ardhi</t>
  </si>
  <si>
    <t>Surabaya, 30 April 2025</t>
  </si>
  <si>
    <t>BULAN MEI 2025</t>
  </si>
  <si>
    <t>NAZIA</t>
  </si>
  <si>
    <t>KIRANA</t>
  </si>
  <si>
    <t>NAYRA</t>
  </si>
  <si>
    <t>AMRI</t>
  </si>
  <si>
    <t>FATIMAH/ACA</t>
  </si>
  <si>
    <t>ARKANZA</t>
  </si>
  <si>
    <t>Pengeluaran</t>
  </si>
  <si>
    <t>Cuci sprei 2X</t>
  </si>
  <si>
    <t>Pewangi lantai 2</t>
  </si>
  <si>
    <t>Kompos</t>
  </si>
  <si>
    <t>Pot teraso 4 @ 75.000</t>
  </si>
  <si>
    <t>Tanah &amp; pupuk</t>
  </si>
  <si>
    <t>Bunga lidah mertua</t>
  </si>
  <si>
    <t>Tanaman kipas</t>
  </si>
  <si>
    <t>Bunga Sansivera</t>
  </si>
  <si>
    <t>Driver</t>
  </si>
  <si>
    <t xml:space="preserve">Kresek kecil </t>
  </si>
  <si>
    <t>Air galon &amp; isi ulang</t>
  </si>
  <si>
    <t>Dry clean peralatan baby</t>
  </si>
  <si>
    <t>Lunch box 20 biji</t>
  </si>
  <si>
    <t>2 loker</t>
  </si>
  <si>
    <t>1 sofa</t>
  </si>
  <si>
    <t>2 kursi tamu</t>
  </si>
  <si>
    <t>Gocar, 2 tempat</t>
  </si>
  <si>
    <t xml:space="preserve">Konsumsi tukang </t>
  </si>
  <si>
    <t>Isolasi besar</t>
  </si>
  <si>
    <t>Anggrek, vas dll</t>
  </si>
  <si>
    <t xml:space="preserve">Mandi bola, puzel, pipa &amp; </t>
  </si>
  <si>
    <t>bola besar</t>
  </si>
  <si>
    <t>2 karpet</t>
  </si>
  <si>
    <t>Sprei jpg 65 biji &amp; bantal</t>
  </si>
  <si>
    <t>Bensin &amp; parkir</t>
  </si>
  <si>
    <t>PBB Blok CC gedung day care</t>
  </si>
  <si>
    <t xml:space="preserve">Loker  informa 1x5 </t>
  </si>
  <si>
    <t>Kartu Informa</t>
  </si>
  <si>
    <t>Kasur 20 biji @ 500.000</t>
  </si>
  <si>
    <t>Gojek PP</t>
  </si>
  <si>
    <t>Tempat sampah tutup</t>
  </si>
  <si>
    <t>Tempat beras</t>
  </si>
  <si>
    <t>Rak sabun susun 4</t>
  </si>
  <si>
    <t>Tempat sampah hijau</t>
  </si>
  <si>
    <t>Plastik pempers 5</t>
  </si>
  <si>
    <t>sikat kamar mandi panjang</t>
  </si>
  <si>
    <t>Tempat tisu tempel</t>
  </si>
  <si>
    <t>Tempat sendok</t>
  </si>
  <si>
    <t>Kursi kantor</t>
  </si>
  <si>
    <t>Gojek</t>
  </si>
  <si>
    <t>DP AC Water heater P Yon</t>
  </si>
  <si>
    <t>2 kenmaster chamois</t>
  </si>
  <si>
    <t>Spon jumbo</t>
  </si>
  <si>
    <t xml:space="preserve">Beras senia 5 kg </t>
  </si>
  <si>
    <t>1 set meja &amp; kursi besi</t>
  </si>
  <si>
    <t xml:space="preserve">Cantolan sapu, </t>
  </si>
  <si>
    <t>2 tong sampah pijak @ 55.000</t>
  </si>
  <si>
    <t>ongkir Informa</t>
  </si>
  <si>
    <t>Surabaya, 31 Mei 2025</t>
  </si>
  <si>
    <t xml:space="preserve">LAPORAN PEMASUKAN DAN PENGELUARAN  </t>
  </si>
  <si>
    <t>DAY CARE AL IMAN TAHUN 2022</t>
  </si>
  <si>
    <t>DESEMBER 2021</t>
  </si>
  <si>
    <t>JANUARI 2022</t>
  </si>
  <si>
    <t>FEBRUARI 2022</t>
  </si>
  <si>
    <t>MARET 2022</t>
  </si>
  <si>
    <t>APRIL 2022</t>
  </si>
  <si>
    <t>MEI 2022</t>
  </si>
  <si>
    <t>JUNI 2022</t>
  </si>
  <si>
    <t>JULI 2022</t>
  </si>
  <si>
    <t>AGUSTUS 2022</t>
  </si>
  <si>
    <t>SEPTEMBER 2022</t>
  </si>
  <si>
    <t>OKTOBER 2022</t>
  </si>
  <si>
    <t>NOVEMBER 2022</t>
  </si>
  <si>
    <t>DESEMBER 2022</t>
  </si>
  <si>
    <t>JUMLAH</t>
  </si>
  <si>
    <t xml:space="preserve">TRANSFER KE KB TK </t>
  </si>
  <si>
    <t>Ke 1</t>
  </si>
  <si>
    <t>11/4/2022 : Ke 2 di KB TK</t>
  </si>
  <si>
    <t>22/9/2022 : Ke 3 di KB TK</t>
  </si>
  <si>
    <t>10/11/2022 ( walmur ) SPP di KB TK</t>
  </si>
  <si>
    <t>TOTAL TH 2022</t>
  </si>
  <si>
    <t>surabaya, 21 Januari 2023</t>
  </si>
  <si>
    <t>Penanggung jawab Day Care</t>
  </si>
  <si>
    <t>Varin Wildania Firdaus</t>
  </si>
  <si>
    <t>DAY CARE AL IMAN TAHUN 2023</t>
  </si>
  <si>
    <t>JANUARI 2023</t>
  </si>
  <si>
    <t>FEBRUARI 2023</t>
  </si>
  <si>
    <t>MARET 2023</t>
  </si>
  <si>
    <t>APRIL 2023</t>
  </si>
  <si>
    <t>MEI 2023</t>
  </si>
  <si>
    <t>JUNI 2023</t>
  </si>
  <si>
    <t>JULI 2023</t>
  </si>
  <si>
    <t>AGUSTUS 2023</t>
  </si>
  <si>
    <t>SEPTEMBER 2023</t>
  </si>
  <si>
    <t>OKTOBER 2023</t>
  </si>
  <si>
    <t>NOVEMBER 2023</t>
  </si>
  <si>
    <t>DESEMBER 2023</t>
  </si>
  <si>
    <t>Setor ke 4: 22/2/2023</t>
  </si>
  <si>
    <t>Setor ke 5: 17/5/2023</t>
  </si>
  <si>
    <t>Setor ke 6: 10/7/2023</t>
  </si>
  <si>
    <t>Setor ke 7: 29/9/2023 di KB TK</t>
  </si>
  <si>
    <t>TOTAL TH 2023</t>
  </si>
  <si>
    <t>DAY CARE AL IMAN TAHUN 2024</t>
  </si>
  <si>
    <t>Saldo TH 2023 yg belum di setor</t>
  </si>
  <si>
    <t>JANUARI 2024</t>
  </si>
  <si>
    <t>FEBRUARI 2024</t>
  </si>
  <si>
    <t>MARET 2024</t>
  </si>
  <si>
    <t>APRIL 2024</t>
  </si>
  <si>
    <t>MEI 2024</t>
  </si>
  <si>
    <t>JUNI 2024</t>
  </si>
  <si>
    <t>JULI 2024</t>
  </si>
  <si>
    <t>AGUSTUS 2024</t>
  </si>
  <si>
    <t>SEPTEMBER 2024</t>
  </si>
  <si>
    <t>OKTOBER 2024</t>
  </si>
  <si>
    <t>NOVEMBER 2024</t>
  </si>
  <si>
    <t>DESEMBER 2024</t>
  </si>
  <si>
    <t>SETOR KE KB TK</t>
  </si>
  <si>
    <t>Setor ke 8 : 4/1/2024</t>
  </si>
  <si>
    <t>Setor ke 9 : 24/7/2024</t>
  </si>
  <si>
    <t>TOTAL TH 2024</t>
  </si>
  <si>
    <t>DAY CARE SETOR KE REKENING KB TK AL IMAN / KUS HARIJANTI</t>
  </si>
  <si>
    <t>TAHUN 2022</t>
  </si>
  <si>
    <t>TAHUN 2023</t>
  </si>
  <si>
    <t>TAHUN 2024</t>
  </si>
  <si>
    <t>Bu Tjoek transfer untuk</t>
  </si>
  <si>
    <t>Transfer dari rekening KB TK</t>
  </si>
  <si>
    <t>Transfer dari rekening Kus Harijanti</t>
  </si>
  <si>
    <t>Saldo TH 2022 yg belum di setor</t>
  </si>
  <si>
    <t>Saldo TH 2024 yg belum di setor</t>
  </si>
  <si>
    <t>Pembangunan Gedung Day Care ke Rekening Yayasan Pak Didik</t>
  </si>
  <si>
    <t>Terima dari Bu Tjoek</t>
  </si>
  <si>
    <t>04/06/2025  INTERIOR</t>
  </si>
  <si>
    <t>12/06/2025 INTERIOR</t>
  </si>
  <si>
    <t>02/07/2025 INTERIOR</t>
  </si>
  <si>
    <t>13/7/2025 Konsumsi Louncing DC</t>
  </si>
  <si>
    <t>Parkir mobil &amp; motor 2x</t>
  </si>
  <si>
    <t>BULAN JUNI 2025</t>
  </si>
  <si>
    <t>NAZIAWAFA</t>
  </si>
  <si>
    <t>FIORELLA</t>
  </si>
  <si>
    <t>KINZA</t>
  </si>
  <si>
    <t>IBRA</t>
  </si>
  <si>
    <t>JANU RADEVA</t>
  </si>
  <si>
    <t>KEONO ATHALAH</t>
  </si>
  <si>
    <t>Camilan tukang 2 hari</t>
  </si>
  <si>
    <t>Hadiah pernikahan Bu Ina</t>
  </si>
  <si>
    <t>Lemari bawah tangga</t>
  </si>
  <si>
    <t>Kitchen set lantai 1</t>
  </si>
  <si>
    <t>Wipol</t>
  </si>
  <si>
    <t>beras 5 kg</t>
  </si>
  <si>
    <t xml:space="preserve">Gantungan kunci utk souvenir15 biji </t>
  </si>
  <si>
    <t>Air galon &amp; spon cuci piring</t>
  </si>
  <si>
    <t>DP ke 3 Mas Ardhi</t>
  </si>
  <si>
    <t>Pewangi pakaian</t>
  </si>
  <si>
    <t>Vixal</t>
  </si>
  <si>
    <t>So klin</t>
  </si>
  <si>
    <t>Peembersih lantai 2</t>
  </si>
  <si>
    <t>DP ke 4 Mas Ardhi</t>
  </si>
  <si>
    <t xml:space="preserve">Air galon </t>
  </si>
  <si>
    <t>Kaos Pengasuh Day care 6</t>
  </si>
  <si>
    <t>Lemari es &amp; sound</t>
  </si>
  <si>
    <t>Konsumsi siomay &amp; jus</t>
  </si>
  <si>
    <t>BBM</t>
  </si>
  <si>
    <t>Tema DP jahit, persiapan</t>
  </si>
  <si>
    <t>launching Bu Nani</t>
  </si>
  <si>
    <t>Konsumsi tukang</t>
  </si>
  <si>
    <t>DP Pak Jefri</t>
  </si>
  <si>
    <t>Konsumsi kerja bakti</t>
  </si>
  <si>
    <t>Jahit 35 isi bantal &amp; sarung</t>
  </si>
  <si>
    <t xml:space="preserve">Baju pengasuh de fashion apront </t>
  </si>
  <si>
    <t>Kerudung 8 pengasuh 16</t>
  </si>
  <si>
    <t>Buku souvenir launching</t>
  </si>
  <si>
    <t>Konsumsi, BBM, parkir</t>
  </si>
  <si>
    <t xml:space="preserve">Konsumsi kerja bakti 3 marbot </t>
  </si>
  <si>
    <t>Konsumsi 5 tukang</t>
  </si>
  <si>
    <t>Mat tembok pink kuning</t>
  </si>
  <si>
    <t>Air utk tukang</t>
  </si>
  <si>
    <t>Grab &amp; parkir 3x</t>
  </si>
  <si>
    <t>Fee Pak Candra manten Ina</t>
  </si>
  <si>
    <t>Air galon  &amp; isi ulang</t>
  </si>
  <si>
    <t>Oscar 6 m @ 64.000</t>
  </si>
  <si>
    <t>Bola kecil utk mandi bola 4 pak</t>
  </si>
  <si>
    <t>Kaos pink 8 pengasuh</t>
  </si>
  <si>
    <t>Kaos hitam 8 pengasuh</t>
  </si>
  <si>
    <t>Tas launching 120</t>
  </si>
  <si>
    <t>Token listrik day care 2</t>
  </si>
  <si>
    <t>Surabaya, 30 Juni 2025</t>
  </si>
  <si>
    <t>BULAN JULI 2025</t>
  </si>
  <si>
    <t>JEISHAL</t>
  </si>
  <si>
    <t>ALMAHYRA</t>
  </si>
  <si>
    <t>RUMAISHA</t>
  </si>
  <si>
    <t>SYAFIQ</t>
  </si>
  <si>
    <t>M. RAFFASYA</t>
  </si>
  <si>
    <t>GIBRAN</t>
  </si>
  <si>
    <t>ARHAM</t>
  </si>
  <si>
    <t>ELFATHAN</t>
  </si>
  <si>
    <t>KEINARRA</t>
  </si>
  <si>
    <t>FATIMAH / ACA</t>
  </si>
  <si>
    <t>SHANKARA</t>
  </si>
  <si>
    <t>KEICO</t>
  </si>
  <si>
    <t>NADISHA</t>
  </si>
  <si>
    <t>Gaji Bu Dila 5 hari</t>
  </si>
  <si>
    <t>Daun salur sentetis</t>
  </si>
  <si>
    <t>Pembayaran Pak Jefri ke 4</t>
  </si>
  <si>
    <t>Pembayaran Pak Ardhi 5</t>
  </si>
  <si>
    <t>2 pot teraso, 7 pot plastik</t>
  </si>
  <si>
    <t>Konsumsi tukang 5  ( P Jefri )</t>
  </si>
  <si>
    <t>Kerja bakti 4 orang</t>
  </si>
  <si>
    <t>Upah tukang angkat laci</t>
  </si>
  <si>
    <t>Rok, daleman, kaos kaki</t>
  </si>
  <si>
    <t>60.000 x 8</t>
  </si>
  <si>
    <t>Pelunasan Pak Ardhi</t>
  </si>
  <si>
    <t>Bikin berem + rumput P. Weni</t>
  </si>
  <si>
    <t>Ongkos kerja ARI</t>
  </si>
  <si>
    <t>Uang makan 5 tukang</t>
  </si>
  <si>
    <t>Air galon</t>
  </si>
  <si>
    <t>Baju seragam Bu Dillah</t>
  </si>
  <si>
    <t>Alat kebersihan di Sakinah</t>
  </si>
  <si>
    <t xml:space="preserve"> Meja kursi warna anak + ongkir</t>
  </si>
  <si>
    <t>Baterai jam 4,&amp; baterai AC</t>
  </si>
  <si>
    <t>Gembok, senar, pilox</t>
  </si>
  <si>
    <t>Acara Launcing</t>
  </si>
  <si>
    <t>Print undangan , flayer dll</t>
  </si>
  <si>
    <t>Plastik</t>
  </si>
  <si>
    <t>Roti Zaitur</t>
  </si>
  <si>
    <t>Balon</t>
  </si>
  <si>
    <t>Bunga resepsionis</t>
  </si>
  <si>
    <t>Air santri 6 dos</t>
  </si>
  <si>
    <t>Sewa tenda kursi launcing</t>
  </si>
  <si>
    <t>Kerja bakti persiapan launcing</t>
  </si>
  <si>
    <t>Tenaga kasar, satpam launcing</t>
  </si>
  <si>
    <t>Parenting Dian Nastiti</t>
  </si>
  <si>
    <t>Sound sistem Pak Joko</t>
  </si>
  <si>
    <t>Qori' &amp; doa Ali Akbar &amp; Parlan</t>
  </si>
  <si>
    <t>Tumpeng</t>
  </si>
  <si>
    <t>Piring kertas &amp; sendok</t>
  </si>
  <si>
    <t>Kacang, sus, plastik</t>
  </si>
  <si>
    <t>Nasi kotak 120 @ 30.000 + ongkir</t>
  </si>
  <si>
    <t>Tissu kotak &amp; gulung</t>
  </si>
  <si>
    <t>Duplikat kunci 2</t>
  </si>
  <si>
    <t>Air isi ulang &amp; asli</t>
  </si>
  <si>
    <t>Kotak front offce</t>
  </si>
  <si>
    <t xml:space="preserve">Beras 5 kg </t>
  </si>
  <si>
    <t>Jahit seragam pengasuh 18</t>
  </si>
  <si>
    <t>TV, dispenser &amp; stiker 3</t>
  </si>
  <si>
    <t>Listrik token</t>
  </si>
  <si>
    <t>Vinil 3,5m, alas main dll</t>
  </si>
  <si>
    <t>Squre tempat mainan 5</t>
  </si>
  <si>
    <t>2 set meja  kursi (12)</t>
  </si>
  <si>
    <t>1 dos air mineral</t>
  </si>
  <si>
    <t>Pamol obat panas &amp; hansaplas</t>
  </si>
  <si>
    <t>Stoorase 3, staples</t>
  </si>
  <si>
    <t>Gambar angka</t>
  </si>
  <si>
    <t>Kain gorden DC 2</t>
  </si>
  <si>
    <t>Konsumsi upgrading 10 orang</t>
  </si>
  <si>
    <t>Konsumsi tukang 2 x 2</t>
  </si>
  <si>
    <t xml:space="preserve">Token listrik </t>
  </si>
  <si>
    <t>Modem internet</t>
  </si>
  <si>
    <t>Besi gorden 14 m + 4 set kunci</t>
  </si>
  <si>
    <t>gantungan handuk</t>
  </si>
  <si>
    <t>Sendok, tempat tisu, ongkir</t>
  </si>
  <si>
    <t>Hanger 36</t>
  </si>
  <si>
    <t>Tempat map</t>
  </si>
  <si>
    <t>Ember sarangan</t>
  </si>
  <si>
    <t>Benner skitar tangga DC</t>
  </si>
  <si>
    <t>Surabaya, 31 Juli 2025</t>
  </si>
  <si>
    <t>BULAN AGUSTUS 2025</t>
  </si>
  <si>
    <t>KHADIJAH &amp; ARHAM</t>
  </si>
  <si>
    <t>JAGAD</t>
  </si>
  <si>
    <t>RADIT</t>
  </si>
  <si>
    <t>NAYARA</t>
  </si>
  <si>
    <t>JIESHAL</t>
  </si>
  <si>
    <t>DEVA</t>
  </si>
  <si>
    <t>ARSAKHA</t>
  </si>
  <si>
    <t>RAFA AKMAL Catering</t>
  </si>
  <si>
    <t>AOS &amp; WASN</t>
  </si>
  <si>
    <t>RASENDRIA</t>
  </si>
  <si>
    <t>LAKSANA</t>
  </si>
  <si>
    <t xml:space="preserve">Pengeluaran </t>
  </si>
  <si>
    <t>Gaji Bu Athirah</t>
  </si>
  <si>
    <t>Gaji Bu Dillah</t>
  </si>
  <si>
    <t>Super pell</t>
  </si>
  <si>
    <t>Sunlight</t>
  </si>
  <si>
    <t>Beras 4 pak @ 75.000</t>
  </si>
  <si>
    <t>Air asli 2 &amp; isi ulang 2</t>
  </si>
  <si>
    <t>Listrik</t>
  </si>
  <si>
    <t>Tas kresek besar &amp; kecil</t>
  </si>
  <si>
    <t>Kapur barus</t>
  </si>
  <si>
    <t>Jahit gorden</t>
  </si>
  <si>
    <t>Air galon baru</t>
  </si>
  <si>
    <t>Pulsa HP Day care</t>
  </si>
  <si>
    <t>Mika tutup meja</t>
  </si>
  <si>
    <t>Double tipe</t>
  </si>
  <si>
    <t>Boneka 3</t>
  </si>
  <si>
    <t>Bahan pembelajaran Agustus</t>
  </si>
  <si>
    <t>cat AGA dll</t>
  </si>
  <si>
    <t>Fee Mas Azis pasang kipas dll</t>
  </si>
  <si>
    <t>Pasang Internet &amp; pulsa</t>
  </si>
  <si>
    <t>2 air galon &amp; air isi ulang Biru 4</t>
  </si>
  <si>
    <t>Baterai &amp; stiker</t>
  </si>
  <si>
    <t>Surabaya, 30 Agustus 2025</t>
  </si>
  <si>
    <t>BULAN SEPTEMBER 2025</t>
  </si>
  <si>
    <t>RAFFASHAH</t>
  </si>
  <si>
    <t>KAYANA</t>
  </si>
  <si>
    <t>NAIRA</t>
  </si>
  <si>
    <t>AOS &amp; WASN di KB TK</t>
  </si>
  <si>
    <t>AMRI sept &amp; okt</t>
  </si>
  <si>
    <t>Gaji Bu Syarifah</t>
  </si>
  <si>
    <t>Gaji Bu Devi</t>
  </si>
  <si>
    <t>Gaji Bu Fira</t>
  </si>
  <si>
    <t>Catering anak</t>
  </si>
  <si>
    <t>Pulsa wifi</t>
  </si>
  <si>
    <t>Pulsa HP</t>
  </si>
  <si>
    <t>Visal</t>
  </si>
  <si>
    <t>Kresek besar</t>
  </si>
  <si>
    <t>PLN</t>
  </si>
  <si>
    <t>Konsumsi kerja bakti DC 1</t>
  </si>
  <si>
    <t>6 Kain gorden  DC 1, ongkos,</t>
  </si>
  <si>
    <t>&amp; cover sofa</t>
  </si>
  <si>
    <t xml:space="preserve">Kerja bakti DC1 </t>
  </si>
  <si>
    <t>Alat bed baby DC 1</t>
  </si>
  <si>
    <t>Uang kegiatan Agustus
stiker DC 1</t>
  </si>
  <si>
    <t>Kerja bakti 2 hari</t>
  </si>
  <si>
    <t>Konsumsi Upgrading DC 8 orang</t>
  </si>
  <si>
    <t>Kekurangan catering Juli</t>
  </si>
  <si>
    <t xml:space="preserve">Konsumsi 2 Tukang </t>
  </si>
  <si>
    <t>Almini gorden DC 1, Zink
tempat cuci piring anak</t>
  </si>
  <si>
    <t xml:space="preserve">4 sprei jepang </t>
  </si>
  <si>
    <t>Nodrop, cat, rol</t>
  </si>
  <si>
    <t>Cat warna, kuas, tiner, amplas</t>
  </si>
  <si>
    <t>Payung jumbo 2</t>
  </si>
  <si>
    <t>AC 2PK, pasang &amp; pindah</t>
  </si>
  <si>
    <t>Cuci AC 4  DC1</t>
  </si>
  <si>
    <t xml:space="preserve">Print 4 lembar </t>
  </si>
  <si>
    <t>Bayclin 2</t>
  </si>
  <si>
    <t>Rapat day care 10 orang</t>
  </si>
  <si>
    <t>Konsumsi 2 tukang cat 3 hari
Azis &amp; Basuki</t>
  </si>
  <si>
    <t>Surabaya, 30 September 2025</t>
  </si>
  <si>
    <t>Bu Tjoek transfer untuk interior gedung day care</t>
  </si>
  <si>
    <t>ke rekening Bu Varin</t>
  </si>
  <si>
    <t>Untuk Interior</t>
  </si>
  <si>
    <t>Konsumsi Louncing DC</t>
  </si>
  <si>
    <t>Total setoran untuk pembagunan DC</t>
  </si>
  <si>
    <t>Pos</t>
  </si>
  <si>
    <t xml:space="preserve">Pemasukan </t>
  </si>
  <si>
    <t>Januari</t>
  </si>
  <si>
    <t>Pebruari</t>
  </si>
  <si>
    <t>Maret</t>
  </si>
  <si>
    <t>April</t>
  </si>
  <si>
    <t>Mei</t>
  </si>
  <si>
    <t>Juni</t>
  </si>
  <si>
    <t>Juli</t>
  </si>
  <si>
    <t xml:space="preserve"> Agustus</t>
  </si>
  <si>
    <t>September</t>
  </si>
  <si>
    <t>SPP</t>
  </si>
  <si>
    <t>Gaji Guru</t>
  </si>
  <si>
    <t>Belanja Barang</t>
  </si>
  <si>
    <t>Inventaris</t>
  </si>
  <si>
    <t>Jumlah</t>
  </si>
  <si>
    <t>Kegiatan</t>
  </si>
  <si>
    <t>Konsumsi</t>
  </si>
  <si>
    <t>Pembangunan</t>
  </si>
  <si>
    <t>THR</t>
  </si>
  <si>
    <t>Biaya Lain-Lain</t>
  </si>
  <si>
    <t>Perawatan/PLN/PDAM</t>
  </si>
  <si>
    <t>Total</t>
  </si>
  <si>
    <t>Rekapitulasi Lap Keuangan Day care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</si>
</sst>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6">
    <xf numFmtId="0" fontId="0" fillId="0" borderId="0" xfId="0"/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164" fontId="3" fillId="0" borderId="4" xfId="0" applyNumberFormat="1" applyFont="1" applyBorder="1"/>
    <xf numFmtId="164" fontId="3" fillId="0" borderId="5" xfId="0" applyNumberFormat="1" applyFont="1" applyBorder="1"/>
    <xf numFmtId="0" fontId="3" fillId="0" borderId="6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right"/>
    </xf>
    <xf numFmtId="164" fontId="3" fillId="0" borderId="6" xfId="0" applyNumberFormat="1" applyFont="1" applyBorder="1"/>
    <xf numFmtId="17" fontId="3" fillId="0" borderId="6" xfId="0" quotePrefix="1" applyNumberFormat="1" applyFont="1" applyBorder="1" applyAlignment="1">
      <alignment horizontal="center"/>
    </xf>
    <xf numFmtId="164" fontId="3" fillId="2" borderId="6" xfId="0" applyNumberFormat="1" applyFont="1" applyFill="1" applyBorder="1"/>
    <xf numFmtId="0" fontId="3" fillId="3" borderId="6" xfId="0" applyFont="1" applyFill="1" applyBorder="1" applyAlignment="1">
      <alignment horizontal="center"/>
    </xf>
    <xf numFmtId="0" fontId="4" fillId="3" borderId="6" xfId="0" applyFont="1" applyFill="1" applyBorder="1"/>
    <xf numFmtId="164" fontId="4" fillId="3" borderId="6" xfId="0" applyNumberFormat="1" applyFont="1" applyFill="1" applyBorder="1"/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2" borderId="6" xfId="0" applyFill="1" applyBorder="1"/>
    <xf numFmtId="164" fontId="0" fillId="0" borderId="6" xfId="0" applyNumberFormat="1" applyBorder="1"/>
    <xf numFmtId="0" fontId="0" fillId="0" borderId="6" xfId="0" applyBorder="1"/>
    <xf numFmtId="0" fontId="1" fillId="0" borderId="6" xfId="0" applyFont="1" applyBorder="1"/>
    <xf numFmtId="0" fontId="3" fillId="0" borderId="6" xfId="0" applyFont="1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3" fillId="0" borderId="10" xfId="0" applyFont="1" applyBorder="1"/>
    <xf numFmtId="164" fontId="0" fillId="0" borderId="10" xfId="0" applyNumberFormat="1" applyBorder="1"/>
    <xf numFmtId="0" fontId="0" fillId="0" borderId="8" xfId="0" applyBorder="1"/>
    <xf numFmtId="0" fontId="3" fillId="0" borderId="7" xfId="0" applyFont="1" applyBorder="1"/>
    <xf numFmtId="164" fontId="0" fillId="0" borderId="9" xfId="0" applyNumberFormat="1" applyBorder="1"/>
    <xf numFmtId="0" fontId="0" fillId="0" borderId="11" xfId="0" applyBorder="1" applyAlignment="1">
      <alignment horizontal="center"/>
    </xf>
    <xf numFmtId="0" fontId="0" fillId="0" borderId="4" xfId="0" applyBorder="1"/>
    <xf numFmtId="0" fontId="3" fillId="0" borderId="3" xfId="0" applyFont="1" applyBorder="1"/>
    <xf numFmtId="164" fontId="0" fillId="0" borderId="11" xfId="0" applyNumberFormat="1" applyBorder="1"/>
    <xf numFmtId="164" fontId="0" fillId="0" borderId="5" xfId="0" applyNumberFormat="1" applyBorder="1"/>
    <xf numFmtId="0" fontId="1" fillId="3" borderId="11" xfId="0" applyFont="1" applyFill="1" applyBorder="1" applyAlignment="1">
      <alignment horizontal="center"/>
    </xf>
    <xf numFmtId="0" fontId="1" fillId="3" borderId="6" xfId="0" applyFont="1" applyFill="1" applyBorder="1"/>
    <xf numFmtId="164" fontId="1" fillId="3" borderId="6" xfId="0" applyNumberFormat="1" applyFont="1" applyFill="1" applyBorder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2" borderId="6" xfId="0" applyNumberFormat="1" applyFill="1" applyBorder="1"/>
    <xf numFmtId="0" fontId="1" fillId="2" borderId="6" xfId="0" applyFont="1" applyFill="1" applyBorder="1"/>
    <xf numFmtId="0" fontId="1" fillId="3" borderId="6" xfId="0" applyFont="1" applyFill="1" applyBorder="1" applyAlignment="1">
      <alignment horizontal="center"/>
    </xf>
    <xf numFmtId="14" fontId="1" fillId="3" borderId="6" xfId="0" quotePrefix="1" applyNumberFormat="1" applyFont="1" applyFill="1" applyBorder="1" applyAlignment="1">
      <alignment horizontal="center"/>
    </xf>
    <xf numFmtId="14" fontId="0" fillId="0" borderId="6" xfId="0" quotePrefix="1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10" xfId="0" applyNumberFormat="1" applyFill="1" applyBorder="1"/>
    <xf numFmtId="0" fontId="0" fillId="0" borderId="7" xfId="0" applyBorder="1" applyAlignment="1">
      <alignment horizontal="center"/>
    </xf>
    <xf numFmtId="0" fontId="0" fillId="0" borderId="7" xfId="0" applyBorder="1"/>
    <xf numFmtId="164" fontId="0" fillId="2" borderId="9" xfId="0" applyNumberFormat="1" applyFill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11" xfId="0" applyFont="1" applyBorder="1"/>
    <xf numFmtId="0" fontId="0" fillId="0" borderId="11" xfId="0" applyBorder="1"/>
    <xf numFmtId="164" fontId="0" fillId="2" borderId="11" xfId="0" applyNumberFormat="1" applyFill="1" applyBorder="1"/>
    <xf numFmtId="14" fontId="0" fillId="0" borderId="6" xfId="0" applyNumberFormat="1" applyBorder="1"/>
    <xf numFmtId="164" fontId="0" fillId="0" borderId="8" xfId="0" applyNumberFormat="1" applyBorder="1"/>
    <xf numFmtId="164" fontId="0" fillId="0" borderId="4" xfId="0" applyNumberFormat="1" applyBorder="1"/>
    <xf numFmtId="0" fontId="0" fillId="0" borderId="12" xfId="0" applyBorder="1" applyAlignment="1">
      <alignment horizontal="center"/>
    </xf>
    <xf numFmtId="0" fontId="0" fillId="0" borderId="12" xfId="0" applyBorder="1"/>
    <xf numFmtId="164" fontId="0" fillId="0" borderId="12" xfId="0" applyNumberFormat="1" applyBorder="1"/>
    <xf numFmtId="0" fontId="0" fillId="0" borderId="6" xfId="0" applyBorder="1" applyAlignment="1">
      <alignment horizontal="left"/>
    </xf>
    <xf numFmtId="0" fontId="0" fillId="0" borderId="1" xfId="0" applyBorder="1"/>
    <xf numFmtId="164" fontId="0" fillId="0" borderId="2" xfId="0" applyNumberFormat="1" applyBorder="1"/>
    <xf numFmtId="0" fontId="0" fillId="2" borderId="11" xfId="0" applyFill="1" applyBorder="1"/>
    <xf numFmtId="3" fontId="3" fillId="0" borderId="4" xfId="0" applyNumberFormat="1" applyFont="1" applyBorder="1"/>
    <xf numFmtId="3" fontId="3" fillId="0" borderId="5" xfId="0" applyNumberFormat="1" applyFont="1" applyBorder="1"/>
    <xf numFmtId="3" fontId="3" fillId="0" borderId="6" xfId="0" applyNumberFormat="1" applyFont="1" applyBorder="1" applyAlignment="1">
      <alignment horizontal="center"/>
    </xf>
    <xf numFmtId="3" fontId="3" fillId="0" borderId="6" xfId="0" applyNumberFormat="1" applyFont="1" applyBorder="1"/>
    <xf numFmtId="3" fontId="4" fillId="3" borderId="6" xfId="0" applyNumberFormat="1" applyFont="1" applyFill="1" applyBorder="1"/>
    <xf numFmtId="3" fontId="0" fillId="0" borderId="6" xfId="0" applyNumberFormat="1" applyBorder="1"/>
    <xf numFmtId="0" fontId="3" fillId="0" borderId="6" xfId="0" applyFont="1" applyBorder="1" applyAlignment="1">
      <alignment horizontal="left"/>
    </xf>
    <xf numFmtId="14" fontId="3" fillId="0" borderId="6" xfId="0" applyNumberFormat="1" applyFon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/>
    <xf numFmtId="3" fontId="1" fillId="4" borderId="6" xfId="0" applyNumberFormat="1" applyFont="1" applyFill="1" applyBorder="1"/>
    <xf numFmtId="3" fontId="0" fillId="0" borderId="0" xfId="0" applyNumberFormat="1"/>
    <xf numFmtId="3" fontId="3" fillId="2" borderId="6" xfId="0" applyNumberFormat="1" applyFont="1" applyFill="1" applyBorder="1"/>
    <xf numFmtId="0" fontId="4" fillId="4" borderId="6" xfId="0" applyFont="1" applyFill="1" applyBorder="1" applyAlignment="1">
      <alignment horizontal="center"/>
    </xf>
    <xf numFmtId="3" fontId="4" fillId="4" borderId="6" xfId="0" applyNumberFormat="1" applyFont="1" applyFill="1" applyBorder="1"/>
    <xf numFmtId="164" fontId="1" fillId="4" borderId="6" xfId="0" applyNumberFormat="1" applyFont="1" applyFill="1" applyBorder="1"/>
    <xf numFmtId="41" fontId="3" fillId="0" borderId="6" xfId="0" applyNumberFormat="1" applyFont="1" applyBorder="1"/>
    <xf numFmtId="41" fontId="4" fillId="3" borderId="6" xfId="0" applyNumberFormat="1" applyFont="1" applyFill="1" applyBorder="1"/>
    <xf numFmtId="3" fontId="3" fillId="0" borderId="6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4" fillId="0" borderId="6" xfId="0" applyFont="1" applyBorder="1"/>
    <xf numFmtId="14" fontId="3" fillId="0" borderId="6" xfId="0" applyNumberFormat="1" applyFont="1" applyBorder="1"/>
    <xf numFmtId="14" fontId="3" fillId="0" borderId="6" xfId="0" applyNumberFormat="1" applyFont="1" applyFill="1" applyBorder="1"/>
    <xf numFmtId="164" fontId="3" fillId="0" borderId="6" xfId="0" applyNumberFormat="1" applyFont="1" applyBorder="1" applyAlignment="1"/>
    <xf numFmtId="0" fontId="3" fillId="3" borderId="6" xfId="0" applyFont="1" applyFill="1" applyBorder="1"/>
    <xf numFmtId="14" fontId="3" fillId="3" borderId="6" xfId="0" applyNumberFormat="1" applyFont="1" applyFill="1" applyBorder="1"/>
    <xf numFmtId="0" fontId="3" fillId="0" borderId="0" xfId="0" applyFont="1"/>
    <xf numFmtId="164" fontId="3" fillId="0" borderId="0" xfId="0" applyNumberFormat="1" applyFont="1"/>
    <xf numFmtId="164" fontId="4" fillId="3" borderId="6" xfId="0" applyNumberFormat="1" applyFont="1" applyFill="1" applyBorder="1" applyAlignment="1"/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6" xfId="0" applyFill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1" fillId="5" borderId="6" xfId="0" applyFont="1" applyFill="1" applyBorder="1"/>
    <xf numFmtId="164" fontId="0" fillId="5" borderId="6" xfId="0" applyNumberFormat="1" applyFill="1" applyBorder="1"/>
    <xf numFmtId="0" fontId="3" fillId="5" borderId="6" xfId="0" applyFont="1" applyFill="1" applyBorder="1"/>
    <xf numFmtId="0" fontId="0" fillId="5" borderId="6" xfId="0" applyFill="1" applyBorder="1"/>
    <xf numFmtId="14" fontId="1" fillId="3" borderId="6" xfId="0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14" fontId="0" fillId="0" borderId="10" xfId="0" applyNumberFormat="1" applyBorder="1" applyAlignment="1">
      <alignment horizontal="center"/>
    </xf>
    <xf numFmtId="0" fontId="0" fillId="2" borderId="10" xfId="0" applyFill="1" applyBorder="1"/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wrapText="1"/>
    </xf>
    <xf numFmtId="164" fontId="0" fillId="2" borderId="6" xfId="0" applyNumberFormat="1" applyFill="1" applyBorder="1" applyAlignment="1">
      <alignment vertical="center"/>
    </xf>
    <xf numFmtId="0" fontId="0" fillId="2" borderId="6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/>
    <xf numFmtId="0" fontId="1" fillId="6" borderId="6" xfId="0" applyFont="1" applyFill="1" applyBorder="1"/>
    <xf numFmtId="164" fontId="1" fillId="6" borderId="6" xfId="0" applyNumberFormat="1" applyFont="1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2" borderId="10" xfId="0" applyFill="1" applyBorder="1" applyAlignment="1">
      <alignment horizontal="left" wrapText="1"/>
    </xf>
    <xf numFmtId="0" fontId="0" fillId="2" borderId="11" xfId="0" applyFill="1" applyBorder="1" applyAlignment="1">
      <alignment horizontal="left"/>
    </xf>
    <xf numFmtId="164" fontId="0" fillId="2" borderId="10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0" fontId="1" fillId="0" borderId="0" xfId="0" applyFont="1"/>
    <xf numFmtId="164" fontId="1" fillId="0" borderId="6" xfId="0" applyNumberFormat="1" applyFont="1" applyBorder="1"/>
    <xf numFmtId="164" fontId="0" fillId="3" borderId="11" xfId="0" applyNumberFormat="1" applyFill="1" applyBorder="1"/>
    <xf numFmtId="164" fontId="0" fillId="4" borderId="6" xfId="0" applyNumberFormat="1" applyFill="1" applyBorder="1"/>
    <xf numFmtId="0" fontId="1" fillId="7" borderId="6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164" fontId="1" fillId="5" borderId="6" xfId="0" applyNumberFormat="1" applyFont="1" applyFill="1" applyBorder="1"/>
  </cellXfs>
  <cellStyles count="2">
    <cellStyle name="Normal" xfId="0" builtinId="0"/>
    <cellStyle name="Normal 2" xfId="1" xr:uid="{08993990-31C1-41F7-B94B-9DFBC42D3B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429F-92A7-462E-9540-EECFDF286E69}">
  <dimension ref="A1:F138"/>
  <sheetViews>
    <sheetView topLeftCell="A85" workbookViewId="0">
      <selection activeCell="M106" sqref="M106"/>
    </sheetView>
  </sheetViews>
  <sheetFormatPr defaultRowHeight="15" x14ac:dyDescent="0.25"/>
  <cols>
    <col min="1" max="1" width="10.7109375" bestFit="1" customWidth="1"/>
    <col min="2" max="2" width="32.85546875" bestFit="1" customWidth="1"/>
    <col min="3" max="3" width="14.28515625" bestFit="1" customWidth="1"/>
    <col min="4" max="4" width="16.5703125" bestFit="1" customWidth="1"/>
    <col min="5" max="5" width="14" bestFit="1" customWidth="1"/>
    <col min="6" max="6" width="12.5703125" bestFit="1" customWidth="1"/>
  </cols>
  <sheetData>
    <row r="1" spans="1:5" ht="18.75" x14ac:dyDescent="0.3">
      <c r="A1" s="126" t="s">
        <v>182</v>
      </c>
      <c r="B1" s="127"/>
      <c r="C1" s="127"/>
      <c r="D1" s="127"/>
      <c r="E1" s="128"/>
    </row>
    <row r="2" spans="1:5" ht="18.75" x14ac:dyDescent="0.3">
      <c r="A2" s="129" t="s">
        <v>183</v>
      </c>
      <c r="B2" s="130"/>
      <c r="C2" s="130"/>
      <c r="D2" s="130"/>
      <c r="E2" s="131"/>
    </row>
    <row r="3" spans="1:5" ht="15.75" x14ac:dyDescent="0.25">
      <c r="A3" s="1"/>
      <c r="B3" s="2"/>
      <c r="C3" s="65"/>
      <c r="D3" s="65"/>
      <c r="E3" s="66"/>
    </row>
    <row r="4" spans="1:5" ht="15.75" x14ac:dyDescent="0.25">
      <c r="A4" s="5" t="s">
        <v>1</v>
      </c>
      <c r="B4" s="5" t="s">
        <v>2</v>
      </c>
      <c r="C4" s="67" t="s">
        <v>3</v>
      </c>
      <c r="D4" s="67" t="s">
        <v>4</v>
      </c>
      <c r="E4" s="67" t="s">
        <v>5</v>
      </c>
    </row>
    <row r="5" spans="1:5" ht="15.75" x14ac:dyDescent="0.25">
      <c r="A5" s="5">
        <v>1</v>
      </c>
      <c r="B5" s="5" t="s">
        <v>184</v>
      </c>
      <c r="C5" s="68">
        <v>3950000</v>
      </c>
      <c r="D5" s="68">
        <v>2020261</v>
      </c>
      <c r="E5" s="68">
        <f t="shared" ref="E5:E17" si="0">C5-D5</f>
        <v>1929739</v>
      </c>
    </row>
    <row r="6" spans="1:5" ht="15.75" x14ac:dyDescent="0.25">
      <c r="A6" s="5">
        <v>2</v>
      </c>
      <c r="B6" s="5" t="s">
        <v>185</v>
      </c>
      <c r="C6" s="68">
        <v>15500000</v>
      </c>
      <c r="D6" s="68">
        <v>848730</v>
      </c>
      <c r="E6" s="68">
        <f t="shared" si="0"/>
        <v>14651270</v>
      </c>
    </row>
    <row r="7" spans="1:5" ht="15.75" x14ac:dyDescent="0.25">
      <c r="A7" s="5">
        <v>3</v>
      </c>
      <c r="B7" s="5" t="s">
        <v>186</v>
      </c>
      <c r="C7" s="68">
        <v>12230000</v>
      </c>
      <c r="D7" s="68">
        <v>494000</v>
      </c>
      <c r="E7" s="68">
        <f t="shared" si="0"/>
        <v>11736000</v>
      </c>
    </row>
    <row r="8" spans="1:5" ht="15.75" x14ac:dyDescent="0.25">
      <c r="A8" s="5">
        <v>4</v>
      </c>
      <c r="B8" s="5" t="s">
        <v>187</v>
      </c>
      <c r="C8" s="68">
        <v>10060000</v>
      </c>
      <c r="D8" s="68">
        <v>1115500</v>
      </c>
      <c r="E8" s="68">
        <f t="shared" si="0"/>
        <v>8944500</v>
      </c>
    </row>
    <row r="9" spans="1:5" ht="15.75" x14ac:dyDescent="0.25">
      <c r="A9" s="5">
        <v>5</v>
      </c>
      <c r="B9" s="9" t="s">
        <v>188</v>
      </c>
      <c r="C9" s="68">
        <v>11990000</v>
      </c>
      <c r="D9" s="68">
        <v>900900</v>
      </c>
      <c r="E9" s="68">
        <f t="shared" si="0"/>
        <v>11089100</v>
      </c>
    </row>
    <row r="10" spans="1:5" ht="15.75" x14ac:dyDescent="0.25">
      <c r="A10" s="5">
        <v>6</v>
      </c>
      <c r="B10" s="5" t="s">
        <v>189</v>
      </c>
      <c r="C10" s="68">
        <v>23480000</v>
      </c>
      <c r="D10" s="68">
        <v>4892825</v>
      </c>
      <c r="E10" s="68">
        <f t="shared" si="0"/>
        <v>18587175</v>
      </c>
    </row>
    <row r="11" spans="1:5" ht="15.75" x14ac:dyDescent="0.25">
      <c r="A11" s="5">
        <v>7</v>
      </c>
      <c r="B11" s="5" t="s">
        <v>190</v>
      </c>
      <c r="C11" s="68">
        <v>21340000</v>
      </c>
      <c r="D11" s="68">
        <v>6425270</v>
      </c>
      <c r="E11" s="68">
        <f t="shared" si="0"/>
        <v>14914730</v>
      </c>
    </row>
    <row r="12" spans="1:5" ht="15.75" x14ac:dyDescent="0.25">
      <c r="A12" s="5">
        <v>8</v>
      </c>
      <c r="B12" s="5" t="s">
        <v>191</v>
      </c>
      <c r="C12" s="68">
        <v>16243500</v>
      </c>
      <c r="D12" s="68">
        <v>4410400</v>
      </c>
      <c r="E12" s="68">
        <f t="shared" si="0"/>
        <v>11833100</v>
      </c>
    </row>
    <row r="13" spans="1:5" ht="15.75" x14ac:dyDescent="0.25">
      <c r="A13" s="5">
        <v>9</v>
      </c>
      <c r="B13" s="5" t="s">
        <v>192</v>
      </c>
      <c r="C13" s="68">
        <v>10580000</v>
      </c>
      <c r="D13" s="68">
        <v>4078970</v>
      </c>
      <c r="E13" s="68">
        <f t="shared" si="0"/>
        <v>6501030</v>
      </c>
    </row>
    <row r="14" spans="1:5" ht="15.75" x14ac:dyDescent="0.25">
      <c r="A14" s="5">
        <v>10</v>
      </c>
      <c r="B14" s="9" t="s">
        <v>193</v>
      </c>
      <c r="C14" s="68">
        <v>13771500</v>
      </c>
      <c r="D14" s="68">
        <v>3276270</v>
      </c>
      <c r="E14" s="68">
        <f t="shared" si="0"/>
        <v>10495230</v>
      </c>
    </row>
    <row r="15" spans="1:5" ht="15.75" x14ac:dyDescent="0.25">
      <c r="A15" s="5">
        <v>11</v>
      </c>
      <c r="B15" s="5" t="s">
        <v>194</v>
      </c>
      <c r="C15" s="68">
        <v>14255000</v>
      </c>
      <c r="D15" s="68">
        <v>3371720</v>
      </c>
      <c r="E15" s="68">
        <f t="shared" si="0"/>
        <v>10883280</v>
      </c>
    </row>
    <row r="16" spans="1:5" ht="15.75" x14ac:dyDescent="0.25">
      <c r="A16" s="5">
        <v>12</v>
      </c>
      <c r="B16" s="9" t="s">
        <v>195</v>
      </c>
      <c r="C16" s="68">
        <v>13970000</v>
      </c>
      <c r="D16" s="68">
        <v>3390130</v>
      </c>
      <c r="E16" s="68">
        <f t="shared" si="0"/>
        <v>10579870</v>
      </c>
    </row>
    <row r="17" spans="1:5" ht="15.75" x14ac:dyDescent="0.25">
      <c r="A17" s="5">
        <v>13</v>
      </c>
      <c r="B17" s="5" t="s">
        <v>196</v>
      </c>
      <c r="C17" s="68">
        <v>14345000</v>
      </c>
      <c r="D17" s="68">
        <v>2622000</v>
      </c>
      <c r="E17" s="68">
        <f t="shared" si="0"/>
        <v>11723000</v>
      </c>
    </row>
    <row r="18" spans="1:5" ht="15.75" x14ac:dyDescent="0.25">
      <c r="A18" s="5"/>
      <c r="B18" s="5"/>
      <c r="C18" s="68"/>
      <c r="D18" s="68"/>
      <c r="E18" s="68"/>
    </row>
    <row r="19" spans="1:5" ht="15.75" x14ac:dyDescent="0.25">
      <c r="A19" s="11"/>
      <c r="B19" s="12" t="s">
        <v>197</v>
      </c>
      <c r="C19" s="69">
        <f>SUM(C5:C17)</f>
        <v>181715000</v>
      </c>
      <c r="D19" s="69">
        <f>SUM(D5:D18)</f>
        <v>37846976</v>
      </c>
      <c r="E19" s="69">
        <f>C19-D19</f>
        <v>143868024</v>
      </c>
    </row>
    <row r="20" spans="1:5" ht="15.75" x14ac:dyDescent="0.25">
      <c r="A20" s="14"/>
      <c r="B20" s="5" t="s">
        <v>198</v>
      </c>
      <c r="C20" s="70"/>
      <c r="D20" s="70"/>
      <c r="E20" s="70"/>
    </row>
    <row r="21" spans="1:5" ht="15.75" x14ac:dyDescent="0.25">
      <c r="A21" s="14">
        <v>14</v>
      </c>
      <c r="B21" s="71" t="s">
        <v>199</v>
      </c>
      <c r="C21" s="70"/>
      <c r="D21" s="70">
        <v>39400000</v>
      </c>
      <c r="E21" s="70"/>
    </row>
    <row r="22" spans="1:5" ht="15.75" x14ac:dyDescent="0.25">
      <c r="A22" s="14">
        <v>15</v>
      </c>
      <c r="B22" s="72" t="s">
        <v>200</v>
      </c>
      <c r="C22" s="70"/>
      <c r="D22" s="70">
        <v>40000000</v>
      </c>
      <c r="E22" s="70"/>
    </row>
    <row r="23" spans="1:5" ht="15.75" x14ac:dyDescent="0.25">
      <c r="A23" s="14">
        <v>16</v>
      </c>
      <c r="B23" s="72" t="s">
        <v>201</v>
      </c>
      <c r="C23" s="70"/>
      <c r="D23" s="70">
        <v>25600000</v>
      </c>
      <c r="E23" s="70"/>
    </row>
    <row r="24" spans="1:5" x14ac:dyDescent="0.25">
      <c r="A24" s="14">
        <v>17</v>
      </c>
      <c r="B24" s="73" t="s">
        <v>202</v>
      </c>
      <c r="C24" s="70"/>
      <c r="D24" s="70">
        <v>750000</v>
      </c>
      <c r="E24" s="70"/>
    </row>
    <row r="25" spans="1:5" ht="15.75" x14ac:dyDescent="0.25">
      <c r="A25" s="14"/>
      <c r="B25" s="71"/>
      <c r="C25" s="70"/>
      <c r="D25" s="70"/>
      <c r="E25" s="70"/>
    </row>
    <row r="26" spans="1:5" x14ac:dyDescent="0.25">
      <c r="A26" s="74"/>
      <c r="B26" s="75" t="s">
        <v>203</v>
      </c>
      <c r="C26" s="76">
        <f>SUM(C19:C25)</f>
        <v>181715000</v>
      </c>
      <c r="D26" s="76">
        <f>SUM(D19:D25)</f>
        <v>143596976</v>
      </c>
      <c r="E26" s="76">
        <f>C26-D26</f>
        <v>38118024</v>
      </c>
    </row>
    <row r="27" spans="1:5" x14ac:dyDescent="0.25">
      <c r="A27" s="39"/>
      <c r="C27" s="77"/>
      <c r="D27" s="77"/>
      <c r="E27" s="77"/>
    </row>
    <row r="28" spans="1:5" x14ac:dyDescent="0.25">
      <c r="A28" s="39"/>
      <c r="C28" s="77"/>
      <c r="D28" s="132" t="s">
        <v>204</v>
      </c>
      <c r="E28" s="132"/>
    </row>
    <row r="29" spans="1:5" x14ac:dyDescent="0.25">
      <c r="A29" s="133" t="s">
        <v>205</v>
      </c>
      <c r="B29" s="133"/>
      <c r="C29" s="77"/>
      <c r="D29" s="132" t="s">
        <v>74</v>
      </c>
      <c r="E29" s="132"/>
    </row>
    <row r="30" spans="1:5" x14ac:dyDescent="0.25">
      <c r="A30" s="39"/>
      <c r="C30" s="77"/>
      <c r="D30" s="77"/>
      <c r="E30" s="77"/>
    </row>
    <row r="31" spans="1:5" x14ac:dyDescent="0.25">
      <c r="A31" s="39"/>
      <c r="C31" s="77"/>
      <c r="D31" s="77"/>
      <c r="E31" s="77"/>
    </row>
    <row r="32" spans="1:5" x14ac:dyDescent="0.25">
      <c r="A32" s="133" t="s">
        <v>206</v>
      </c>
      <c r="B32" s="133"/>
      <c r="C32" s="77"/>
      <c r="D32" s="132" t="s">
        <v>76</v>
      </c>
      <c r="E32" s="132"/>
    </row>
    <row r="33" spans="1:5" x14ac:dyDescent="0.25">
      <c r="A33" s="39"/>
      <c r="C33" s="77"/>
      <c r="D33" s="77"/>
      <c r="E33" s="77"/>
    </row>
    <row r="34" spans="1:5" ht="18.75" x14ac:dyDescent="0.3">
      <c r="A34" s="126" t="s">
        <v>182</v>
      </c>
      <c r="B34" s="127"/>
      <c r="C34" s="127"/>
      <c r="D34" s="127"/>
      <c r="E34" s="128"/>
    </row>
    <row r="35" spans="1:5" ht="18.75" x14ac:dyDescent="0.3">
      <c r="A35" s="129" t="s">
        <v>207</v>
      </c>
      <c r="B35" s="130"/>
      <c r="C35" s="130"/>
      <c r="D35" s="130"/>
      <c r="E35" s="131"/>
    </row>
    <row r="36" spans="1:5" ht="15.75" x14ac:dyDescent="0.25">
      <c r="A36" s="1"/>
      <c r="B36" s="2"/>
      <c r="C36" s="65"/>
      <c r="D36" s="65"/>
      <c r="E36" s="66"/>
    </row>
    <row r="37" spans="1:5" ht="15.75" x14ac:dyDescent="0.25">
      <c r="A37" s="5" t="s">
        <v>1</v>
      </c>
      <c r="B37" s="5" t="s">
        <v>2</v>
      </c>
      <c r="C37" s="67" t="s">
        <v>3</v>
      </c>
      <c r="D37" s="67" t="s">
        <v>4</v>
      </c>
      <c r="E37" s="67" t="s">
        <v>5</v>
      </c>
    </row>
    <row r="38" spans="1:5" ht="15.75" x14ac:dyDescent="0.25">
      <c r="A38" s="5">
        <v>1</v>
      </c>
      <c r="B38" s="71" t="s">
        <v>250</v>
      </c>
      <c r="C38" s="68">
        <v>38118000</v>
      </c>
      <c r="D38" s="67"/>
      <c r="E38" s="84">
        <f>C38</f>
        <v>38118000</v>
      </c>
    </row>
    <row r="39" spans="1:5" ht="15.75" x14ac:dyDescent="0.25">
      <c r="A39" s="5">
        <v>2</v>
      </c>
      <c r="B39" s="5" t="s">
        <v>208</v>
      </c>
      <c r="C39" s="68">
        <v>22157500</v>
      </c>
      <c r="D39" s="68">
        <v>3726700</v>
      </c>
      <c r="E39" s="68">
        <f t="shared" ref="E39:E50" si="1">C39-D39</f>
        <v>18430800</v>
      </c>
    </row>
    <row r="40" spans="1:5" ht="15.75" x14ac:dyDescent="0.25">
      <c r="A40" s="5">
        <v>3</v>
      </c>
      <c r="B40" s="5" t="s">
        <v>209</v>
      </c>
      <c r="C40" s="68">
        <v>17472500</v>
      </c>
      <c r="D40" s="68">
        <v>2957990</v>
      </c>
      <c r="E40" s="68">
        <f t="shared" si="1"/>
        <v>14514510</v>
      </c>
    </row>
    <row r="41" spans="1:5" ht="15.75" x14ac:dyDescent="0.25">
      <c r="A41" s="5">
        <v>4</v>
      </c>
      <c r="B41" s="5" t="s">
        <v>210</v>
      </c>
      <c r="C41" s="68">
        <v>16441500</v>
      </c>
      <c r="D41" s="68">
        <v>4428500</v>
      </c>
      <c r="E41" s="68">
        <f t="shared" si="1"/>
        <v>12013000</v>
      </c>
    </row>
    <row r="42" spans="1:5" ht="15.75" x14ac:dyDescent="0.25">
      <c r="A42" s="5">
        <v>5</v>
      </c>
      <c r="B42" s="9" t="s">
        <v>211</v>
      </c>
      <c r="C42" s="68">
        <v>13597500</v>
      </c>
      <c r="D42" s="68">
        <v>6950000</v>
      </c>
      <c r="E42" s="68">
        <f t="shared" si="1"/>
        <v>6647500</v>
      </c>
    </row>
    <row r="43" spans="1:5" ht="15.75" x14ac:dyDescent="0.25">
      <c r="A43" s="5">
        <v>6</v>
      </c>
      <c r="B43" s="5" t="s">
        <v>212</v>
      </c>
      <c r="C43" s="68">
        <v>15427500</v>
      </c>
      <c r="D43" s="68">
        <v>3333400</v>
      </c>
      <c r="E43" s="68">
        <f t="shared" si="1"/>
        <v>12094100</v>
      </c>
    </row>
    <row r="44" spans="1:5" ht="15.75" x14ac:dyDescent="0.25">
      <c r="A44" s="5">
        <v>7</v>
      </c>
      <c r="B44" s="5" t="s">
        <v>213</v>
      </c>
      <c r="C44" s="68">
        <v>13637500</v>
      </c>
      <c r="D44" s="68">
        <v>2230450</v>
      </c>
      <c r="E44" s="68">
        <f t="shared" si="1"/>
        <v>11407050</v>
      </c>
    </row>
    <row r="45" spans="1:5" ht="15.75" x14ac:dyDescent="0.25">
      <c r="A45" s="5">
        <v>8</v>
      </c>
      <c r="B45" s="5" t="s">
        <v>214</v>
      </c>
      <c r="C45" s="78">
        <v>15630000</v>
      </c>
      <c r="D45" s="68">
        <v>3908400</v>
      </c>
      <c r="E45" s="68">
        <f t="shared" si="1"/>
        <v>11721600</v>
      </c>
    </row>
    <row r="46" spans="1:5" ht="15.75" x14ac:dyDescent="0.25">
      <c r="A46" s="5">
        <v>9</v>
      </c>
      <c r="B46" s="5" t="s">
        <v>215</v>
      </c>
      <c r="C46" s="68">
        <v>17135000</v>
      </c>
      <c r="D46" s="68">
        <v>4578500</v>
      </c>
      <c r="E46" s="68">
        <f t="shared" si="1"/>
        <v>12556500</v>
      </c>
    </row>
    <row r="47" spans="1:5" ht="15.75" x14ac:dyDescent="0.25">
      <c r="A47" s="5">
        <v>10</v>
      </c>
      <c r="B47" s="9" t="s">
        <v>216</v>
      </c>
      <c r="C47" s="68">
        <v>18475000</v>
      </c>
      <c r="D47" s="68">
        <v>5912500</v>
      </c>
      <c r="E47" s="68">
        <f t="shared" si="1"/>
        <v>12562500</v>
      </c>
    </row>
    <row r="48" spans="1:5" ht="15.75" x14ac:dyDescent="0.25">
      <c r="A48" s="5">
        <v>11</v>
      </c>
      <c r="B48" s="5" t="s">
        <v>217</v>
      </c>
      <c r="C48" s="68">
        <v>17155000</v>
      </c>
      <c r="D48" s="68">
        <v>5639400</v>
      </c>
      <c r="E48" s="68">
        <f t="shared" si="1"/>
        <v>11515600</v>
      </c>
    </row>
    <row r="49" spans="1:5" ht="15.75" x14ac:dyDescent="0.25">
      <c r="A49" s="5">
        <v>12</v>
      </c>
      <c r="B49" s="9" t="s">
        <v>218</v>
      </c>
      <c r="C49" s="68">
        <v>19710000</v>
      </c>
      <c r="D49" s="68">
        <v>6708500</v>
      </c>
      <c r="E49" s="68">
        <f t="shared" si="1"/>
        <v>13001500</v>
      </c>
    </row>
    <row r="50" spans="1:5" ht="15.75" x14ac:dyDescent="0.25">
      <c r="A50" s="5">
        <v>13</v>
      </c>
      <c r="B50" s="5" t="s">
        <v>219</v>
      </c>
      <c r="C50" s="68">
        <v>18403000</v>
      </c>
      <c r="D50" s="68">
        <v>5924900</v>
      </c>
      <c r="E50" s="68">
        <f t="shared" si="1"/>
        <v>12478100</v>
      </c>
    </row>
    <row r="51" spans="1:5" ht="15.75" x14ac:dyDescent="0.25">
      <c r="A51" s="11"/>
      <c r="B51" s="12" t="s">
        <v>18</v>
      </c>
      <c r="C51" s="69">
        <f>SUM(C38:C50)</f>
        <v>243360000</v>
      </c>
      <c r="D51" s="69">
        <f>SUM(D39:D50)</f>
        <v>56299240</v>
      </c>
      <c r="E51" s="69">
        <f>SUM(E38:E50)</f>
        <v>187060760</v>
      </c>
    </row>
    <row r="52" spans="1:5" ht="15.75" x14ac:dyDescent="0.25">
      <c r="A52" s="5"/>
      <c r="B52" s="71"/>
      <c r="C52" s="68"/>
      <c r="D52" s="68"/>
      <c r="E52" s="68"/>
    </row>
    <row r="53" spans="1:5" ht="15.75" x14ac:dyDescent="0.25">
      <c r="A53" s="5">
        <v>14</v>
      </c>
      <c r="B53" s="71" t="s">
        <v>220</v>
      </c>
      <c r="C53" s="68"/>
      <c r="D53" s="68">
        <v>50000000</v>
      </c>
      <c r="E53" s="68"/>
    </row>
    <row r="54" spans="1:5" ht="15.75" x14ac:dyDescent="0.25">
      <c r="A54" s="5">
        <v>15</v>
      </c>
      <c r="B54" s="71" t="s">
        <v>221</v>
      </c>
      <c r="C54" s="68"/>
      <c r="D54" s="68">
        <v>45000000</v>
      </c>
      <c r="E54" s="68"/>
    </row>
    <row r="55" spans="1:5" ht="15.75" x14ac:dyDescent="0.25">
      <c r="A55" s="5">
        <v>16</v>
      </c>
      <c r="B55" s="71" t="s">
        <v>222</v>
      </c>
      <c r="C55" s="68"/>
      <c r="D55" s="68">
        <v>20000000</v>
      </c>
      <c r="E55" s="68"/>
    </row>
    <row r="56" spans="1:5" ht="15.75" x14ac:dyDescent="0.25">
      <c r="A56" s="5">
        <v>17</v>
      </c>
      <c r="B56" s="71" t="s">
        <v>223</v>
      </c>
      <c r="C56" s="68"/>
      <c r="D56" s="68">
        <v>25000000</v>
      </c>
      <c r="E56" s="68"/>
    </row>
    <row r="57" spans="1:5" ht="15.75" x14ac:dyDescent="0.25">
      <c r="A57" s="5"/>
      <c r="B57" s="5"/>
      <c r="C57" s="68"/>
      <c r="D57" s="68"/>
      <c r="E57" s="68"/>
    </row>
    <row r="58" spans="1:5" ht="15.75" x14ac:dyDescent="0.25">
      <c r="A58" s="79"/>
      <c r="B58" s="75" t="s">
        <v>224</v>
      </c>
      <c r="C58" s="80">
        <f>SUM(C51:C57)</f>
        <v>243360000</v>
      </c>
      <c r="D58" s="80">
        <f>SUM(D51:D57)</f>
        <v>196299240</v>
      </c>
      <c r="E58" s="80">
        <f>C58-D58</f>
        <v>47060760</v>
      </c>
    </row>
    <row r="62" spans="1:5" ht="18.75" x14ac:dyDescent="0.3">
      <c r="A62" s="126" t="s">
        <v>182</v>
      </c>
      <c r="B62" s="127"/>
      <c r="C62" s="127"/>
      <c r="D62" s="127"/>
      <c r="E62" s="128"/>
    </row>
    <row r="63" spans="1:5" ht="18.75" x14ac:dyDescent="0.3">
      <c r="A63" s="129" t="s">
        <v>225</v>
      </c>
      <c r="B63" s="130"/>
      <c r="C63" s="130"/>
      <c r="D63" s="130"/>
      <c r="E63" s="131"/>
    </row>
    <row r="64" spans="1:5" ht="15.75" x14ac:dyDescent="0.25">
      <c r="A64" s="1"/>
      <c r="B64" s="2"/>
      <c r="C64" s="3"/>
      <c r="D64" s="3"/>
      <c r="E64" s="4"/>
    </row>
    <row r="65" spans="1:6" ht="15.75" x14ac:dyDescent="0.25">
      <c r="A65" s="5" t="s">
        <v>1</v>
      </c>
      <c r="B65" s="5" t="s">
        <v>2</v>
      </c>
      <c r="C65" s="6" t="s">
        <v>3</v>
      </c>
      <c r="D65" s="6" t="s">
        <v>4</v>
      </c>
      <c r="E65" s="6" t="s">
        <v>5</v>
      </c>
    </row>
    <row r="66" spans="1:6" ht="15.75" x14ac:dyDescent="0.25">
      <c r="A66" s="5">
        <v>1</v>
      </c>
      <c r="B66" s="5" t="s">
        <v>226</v>
      </c>
      <c r="C66" s="7">
        <v>47060760</v>
      </c>
      <c r="D66" s="6"/>
      <c r="E66" s="7">
        <f>C66</f>
        <v>47060760</v>
      </c>
    </row>
    <row r="67" spans="1:6" ht="15.75" x14ac:dyDescent="0.25">
      <c r="A67" s="5">
        <v>2</v>
      </c>
      <c r="B67" s="5" t="s">
        <v>227</v>
      </c>
      <c r="C67" s="8">
        <v>28785000</v>
      </c>
      <c r="D67" s="8">
        <v>8234300</v>
      </c>
      <c r="E67" s="8">
        <f t="shared" ref="E67:E78" si="2">C67-D67</f>
        <v>20550700</v>
      </c>
    </row>
    <row r="68" spans="1:6" ht="15.75" x14ac:dyDescent="0.25">
      <c r="A68" s="5">
        <v>3</v>
      </c>
      <c r="B68" s="5" t="s">
        <v>228</v>
      </c>
      <c r="C68" s="8">
        <v>19595000</v>
      </c>
      <c r="D68" s="8">
        <v>6337100</v>
      </c>
      <c r="E68" s="8">
        <f t="shared" si="2"/>
        <v>13257900</v>
      </c>
    </row>
    <row r="69" spans="1:6" ht="15.75" x14ac:dyDescent="0.25">
      <c r="A69" s="5">
        <v>4</v>
      </c>
      <c r="B69" s="5" t="s">
        <v>229</v>
      </c>
      <c r="C69" s="8">
        <v>18535000</v>
      </c>
      <c r="D69" s="8">
        <v>8872100</v>
      </c>
      <c r="E69" s="8">
        <f t="shared" si="2"/>
        <v>9662900</v>
      </c>
    </row>
    <row r="70" spans="1:6" ht="15.75" x14ac:dyDescent="0.25">
      <c r="A70" s="5">
        <v>5</v>
      </c>
      <c r="B70" s="9" t="s">
        <v>230</v>
      </c>
      <c r="C70" s="8">
        <v>18825000</v>
      </c>
      <c r="D70" s="8">
        <v>5659800</v>
      </c>
      <c r="E70" s="8">
        <f t="shared" si="2"/>
        <v>13165200</v>
      </c>
    </row>
    <row r="71" spans="1:6" ht="15.75" x14ac:dyDescent="0.25">
      <c r="A71" s="5">
        <v>6</v>
      </c>
      <c r="B71" s="5" t="s">
        <v>231</v>
      </c>
      <c r="C71" s="8">
        <v>21030000</v>
      </c>
      <c r="D71" s="8">
        <v>9225400</v>
      </c>
      <c r="E71" s="8">
        <f t="shared" si="2"/>
        <v>11804600</v>
      </c>
    </row>
    <row r="72" spans="1:6" ht="15.75" x14ac:dyDescent="0.25">
      <c r="A72" s="5">
        <v>7</v>
      </c>
      <c r="B72" s="5" t="s">
        <v>232</v>
      </c>
      <c r="C72" s="8">
        <v>27930000</v>
      </c>
      <c r="D72" s="8">
        <v>6351600</v>
      </c>
      <c r="E72" s="8">
        <f t="shared" si="2"/>
        <v>21578400</v>
      </c>
    </row>
    <row r="73" spans="1:6" ht="15.75" x14ac:dyDescent="0.25">
      <c r="A73" s="5">
        <v>8</v>
      </c>
      <c r="B73" s="5" t="s">
        <v>233</v>
      </c>
      <c r="C73" s="10">
        <v>23395000</v>
      </c>
      <c r="D73" s="8">
        <v>8916000</v>
      </c>
      <c r="E73" s="8">
        <f t="shared" si="2"/>
        <v>14479000</v>
      </c>
    </row>
    <row r="74" spans="1:6" ht="15.75" x14ac:dyDescent="0.25">
      <c r="A74" s="5">
        <v>9</v>
      </c>
      <c r="B74" s="5" t="s">
        <v>234</v>
      </c>
      <c r="C74" s="8">
        <v>24105000</v>
      </c>
      <c r="D74" s="8">
        <v>7536000</v>
      </c>
      <c r="E74" s="8">
        <f t="shared" si="2"/>
        <v>16569000</v>
      </c>
    </row>
    <row r="75" spans="1:6" ht="15.75" x14ac:dyDescent="0.25">
      <c r="A75" s="5">
        <v>10</v>
      </c>
      <c r="B75" s="9" t="s">
        <v>235</v>
      </c>
      <c r="C75" s="8">
        <v>26260000</v>
      </c>
      <c r="D75" s="8">
        <v>8627500</v>
      </c>
      <c r="E75" s="8">
        <f t="shared" si="2"/>
        <v>17632500</v>
      </c>
    </row>
    <row r="76" spans="1:6" ht="15.75" x14ac:dyDescent="0.25">
      <c r="A76" s="5">
        <v>11</v>
      </c>
      <c r="B76" s="5" t="s">
        <v>236</v>
      </c>
      <c r="C76" s="8">
        <v>24785000</v>
      </c>
      <c r="D76" s="8">
        <v>8942500</v>
      </c>
      <c r="E76" s="8">
        <f t="shared" si="2"/>
        <v>15842500</v>
      </c>
    </row>
    <row r="77" spans="1:6" ht="15.75" x14ac:dyDescent="0.25">
      <c r="A77" s="5">
        <v>12</v>
      </c>
      <c r="B77" s="9" t="s">
        <v>237</v>
      </c>
      <c r="C77" s="8">
        <v>25185000</v>
      </c>
      <c r="D77" s="8">
        <v>7884500</v>
      </c>
      <c r="E77" s="8">
        <f t="shared" si="2"/>
        <v>17300500</v>
      </c>
    </row>
    <row r="78" spans="1:6" ht="15.75" x14ac:dyDescent="0.25">
      <c r="A78" s="5">
        <v>13</v>
      </c>
      <c r="B78" s="5" t="s">
        <v>238</v>
      </c>
      <c r="C78" s="8">
        <v>23980000</v>
      </c>
      <c r="D78" s="8">
        <v>10197200</v>
      </c>
      <c r="E78" s="8">
        <f t="shared" si="2"/>
        <v>13782800</v>
      </c>
    </row>
    <row r="79" spans="1:6" ht="15.75" x14ac:dyDescent="0.25">
      <c r="A79" s="11"/>
      <c r="B79" s="12" t="s">
        <v>18</v>
      </c>
      <c r="C79" s="13">
        <f>SUM(C66:C78)</f>
        <v>329470760</v>
      </c>
      <c r="D79" s="13">
        <f>SUM(D66:D78)</f>
        <v>96784000</v>
      </c>
      <c r="E79" s="13">
        <f>SUM(E66:E78)</f>
        <v>232686760</v>
      </c>
      <c r="F79" s="38"/>
    </row>
    <row r="80" spans="1:6" x14ac:dyDescent="0.25">
      <c r="A80" s="19"/>
      <c r="B80" s="19" t="s">
        <v>239</v>
      </c>
      <c r="C80" s="18"/>
      <c r="D80" s="18"/>
      <c r="E80" s="18"/>
    </row>
    <row r="81" spans="1:5" x14ac:dyDescent="0.25">
      <c r="A81" s="14">
        <v>14</v>
      </c>
      <c r="B81" s="19" t="s">
        <v>240</v>
      </c>
      <c r="C81" s="18"/>
      <c r="D81" s="18">
        <v>50000000</v>
      </c>
      <c r="E81" s="18"/>
    </row>
    <row r="82" spans="1:5" x14ac:dyDescent="0.25">
      <c r="A82" s="14">
        <v>15</v>
      </c>
      <c r="B82" s="19" t="s">
        <v>241</v>
      </c>
      <c r="C82" s="18"/>
      <c r="D82" s="18">
        <v>95000000</v>
      </c>
      <c r="E82" s="18"/>
    </row>
    <row r="83" spans="1:5" x14ac:dyDescent="0.25">
      <c r="A83" s="14"/>
      <c r="B83" s="19"/>
      <c r="C83" s="18"/>
      <c r="D83" s="18"/>
      <c r="E83" s="40"/>
    </row>
    <row r="84" spans="1:5" x14ac:dyDescent="0.25">
      <c r="A84" s="75"/>
      <c r="B84" s="75" t="s">
        <v>242</v>
      </c>
      <c r="C84" s="81">
        <f>SUM(C79:C83)</f>
        <v>329470760</v>
      </c>
      <c r="D84" s="81">
        <f>SUM(D79:D83)</f>
        <v>241784000</v>
      </c>
      <c r="E84" s="81">
        <f>C84-D84</f>
        <v>87686760</v>
      </c>
    </row>
    <row r="85" spans="1:5" x14ac:dyDescent="0.25">
      <c r="C85" s="38"/>
      <c r="D85" s="38"/>
      <c r="E85" s="38"/>
    </row>
    <row r="86" spans="1:5" x14ac:dyDescent="0.25">
      <c r="C86" s="38"/>
      <c r="D86" s="38"/>
      <c r="E86" s="38"/>
    </row>
    <row r="87" spans="1:5" ht="18.75" x14ac:dyDescent="0.3">
      <c r="A87" s="126" t="s">
        <v>182</v>
      </c>
      <c r="B87" s="127"/>
      <c r="C87" s="127"/>
      <c r="D87" s="127"/>
      <c r="E87" s="128"/>
    </row>
    <row r="88" spans="1:5" ht="18.75" x14ac:dyDescent="0.3">
      <c r="A88" s="129" t="s">
        <v>0</v>
      </c>
      <c r="B88" s="130"/>
      <c r="C88" s="130"/>
      <c r="D88" s="130"/>
      <c r="E88" s="131"/>
    </row>
    <row r="89" spans="1:5" ht="15.75" x14ac:dyDescent="0.25">
      <c r="A89" s="1"/>
      <c r="B89" s="2"/>
      <c r="C89" s="3"/>
      <c r="D89" s="3"/>
      <c r="E89" s="4"/>
    </row>
    <row r="90" spans="1:5" ht="15.75" x14ac:dyDescent="0.25">
      <c r="A90" s="5" t="s">
        <v>1</v>
      </c>
      <c r="B90" s="5" t="s">
        <v>2</v>
      </c>
      <c r="C90" s="6" t="s">
        <v>3</v>
      </c>
      <c r="D90" s="6" t="s">
        <v>4</v>
      </c>
      <c r="E90" s="6" t="s">
        <v>5</v>
      </c>
    </row>
    <row r="91" spans="1:5" ht="15.75" x14ac:dyDescent="0.25">
      <c r="A91" s="5">
        <v>1</v>
      </c>
      <c r="B91" s="5" t="s">
        <v>251</v>
      </c>
      <c r="C91" s="7">
        <v>87686760</v>
      </c>
      <c r="D91" s="6"/>
      <c r="E91" s="7">
        <f>C91</f>
        <v>87686760</v>
      </c>
    </row>
    <row r="92" spans="1:5" ht="15.75" x14ac:dyDescent="0.25">
      <c r="A92" s="5">
        <v>2</v>
      </c>
      <c r="B92" s="5" t="s">
        <v>6</v>
      </c>
      <c r="C92" s="8">
        <v>25370000</v>
      </c>
      <c r="D92" s="8">
        <v>9653350</v>
      </c>
      <c r="E92" s="8">
        <f t="shared" ref="E92:E100" si="3">C92-D92</f>
        <v>15716650</v>
      </c>
    </row>
    <row r="93" spans="1:5" ht="15.75" x14ac:dyDescent="0.25">
      <c r="A93" s="5">
        <v>3</v>
      </c>
      <c r="B93" s="5" t="s">
        <v>7</v>
      </c>
      <c r="C93" s="8">
        <v>25080000</v>
      </c>
      <c r="D93" s="8">
        <v>8614000</v>
      </c>
      <c r="E93" s="8">
        <f t="shared" si="3"/>
        <v>16466000</v>
      </c>
    </row>
    <row r="94" spans="1:5" ht="15.75" x14ac:dyDescent="0.25">
      <c r="A94" s="5">
        <v>4</v>
      </c>
      <c r="B94" s="5" t="s">
        <v>8</v>
      </c>
      <c r="C94" s="8">
        <v>28980000</v>
      </c>
      <c r="D94" s="8">
        <v>88006500</v>
      </c>
      <c r="E94" s="8">
        <f t="shared" si="3"/>
        <v>-59026500</v>
      </c>
    </row>
    <row r="95" spans="1:5" ht="15.75" x14ac:dyDescent="0.25">
      <c r="A95" s="5">
        <v>5</v>
      </c>
      <c r="B95" s="9" t="s">
        <v>9</v>
      </c>
      <c r="C95" s="8">
        <v>27615000</v>
      </c>
      <c r="D95" s="8">
        <v>53378700</v>
      </c>
      <c r="E95" s="8">
        <f t="shared" si="3"/>
        <v>-25763700</v>
      </c>
    </row>
    <row r="96" spans="1:5" ht="15.75" x14ac:dyDescent="0.25">
      <c r="A96" s="5">
        <v>6</v>
      </c>
      <c r="B96" s="5" t="s">
        <v>10</v>
      </c>
      <c r="C96" s="8">
        <v>37710000</v>
      </c>
      <c r="D96" s="8">
        <v>56163600</v>
      </c>
      <c r="E96" s="8">
        <f t="shared" si="3"/>
        <v>-18453600</v>
      </c>
    </row>
    <row r="97" spans="1:5" ht="15.75" x14ac:dyDescent="0.25">
      <c r="A97" s="5">
        <v>7</v>
      </c>
      <c r="B97" s="5" t="s">
        <v>11</v>
      </c>
      <c r="C97" s="8">
        <v>32435000</v>
      </c>
      <c r="D97" s="8">
        <v>82020100</v>
      </c>
      <c r="E97" s="8">
        <f t="shared" si="3"/>
        <v>-49585100</v>
      </c>
    </row>
    <row r="98" spans="1:5" ht="15.75" x14ac:dyDescent="0.25">
      <c r="A98" s="5">
        <v>8</v>
      </c>
      <c r="B98" s="5" t="s">
        <v>12</v>
      </c>
      <c r="C98" s="10">
        <v>35610000</v>
      </c>
      <c r="D98" s="8">
        <v>97357900</v>
      </c>
      <c r="E98" s="8">
        <f t="shared" si="3"/>
        <v>-61747900</v>
      </c>
    </row>
    <row r="99" spans="1:5" ht="15.75" x14ac:dyDescent="0.25">
      <c r="A99" s="5">
        <v>9</v>
      </c>
      <c r="B99" s="5" t="s">
        <v>13</v>
      </c>
      <c r="C99" s="8">
        <v>36015000</v>
      </c>
      <c r="D99" s="8">
        <v>13951500</v>
      </c>
      <c r="E99" s="8">
        <f t="shared" si="3"/>
        <v>22063500</v>
      </c>
    </row>
    <row r="100" spans="1:5" ht="15.75" x14ac:dyDescent="0.25">
      <c r="A100" s="5">
        <v>10</v>
      </c>
      <c r="B100" s="9" t="s">
        <v>14</v>
      </c>
      <c r="C100" s="8">
        <v>38055000</v>
      </c>
      <c r="D100" s="8">
        <v>27588800</v>
      </c>
      <c r="E100" s="8">
        <f t="shared" si="3"/>
        <v>10466200</v>
      </c>
    </row>
    <row r="101" spans="1:5" ht="15.75" x14ac:dyDescent="0.25">
      <c r="A101" s="5">
        <v>11</v>
      </c>
      <c r="B101" s="5" t="s">
        <v>15</v>
      </c>
      <c r="C101" s="8"/>
      <c r="D101" s="8"/>
      <c r="E101" s="8"/>
    </row>
    <row r="102" spans="1:5" ht="15.75" x14ac:dyDescent="0.25">
      <c r="A102" s="5">
        <v>12</v>
      </c>
      <c r="B102" s="9" t="s">
        <v>16</v>
      </c>
      <c r="C102" s="8"/>
      <c r="D102" s="8"/>
      <c r="E102" s="8"/>
    </row>
    <row r="103" spans="1:5" ht="15.75" x14ac:dyDescent="0.25">
      <c r="A103" s="5">
        <v>13</v>
      </c>
      <c r="B103" s="5" t="s">
        <v>17</v>
      </c>
      <c r="C103" s="8"/>
      <c r="D103" s="8"/>
      <c r="E103" s="8"/>
    </row>
    <row r="104" spans="1:5" ht="15.75" x14ac:dyDescent="0.25">
      <c r="A104" s="11"/>
      <c r="B104" s="12"/>
      <c r="C104" s="13">
        <f>SUM(C91:C103)</f>
        <v>374556760</v>
      </c>
      <c r="D104" s="13">
        <f>SUM(D91:D103)</f>
        <v>436734450</v>
      </c>
      <c r="E104" s="13">
        <f>C104-D104</f>
        <v>-62177690</v>
      </c>
    </row>
    <row r="105" spans="1:5" ht="15.75" x14ac:dyDescent="0.25">
      <c r="A105" s="21"/>
      <c r="B105" s="86" t="s">
        <v>253</v>
      </c>
      <c r="C105" s="8"/>
      <c r="D105" s="8"/>
      <c r="E105" s="8"/>
    </row>
    <row r="106" spans="1:5" ht="15.75" x14ac:dyDescent="0.25">
      <c r="A106" s="5">
        <v>14</v>
      </c>
      <c r="B106" s="87" t="s">
        <v>254</v>
      </c>
      <c r="C106" s="8">
        <v>2250000</v>
      </c>
      <c r="D106" s="8"/>
      <c r="E106" s="8"/>
    </row>
    <row r="107" spans="1:5" ht="15.75" x14ac:dyDescent="0.25">
      <c r="A107" s="5">
        <v>15</v>
      </c>
      <c r="B107" s="87" t="s">
        <v>255</v>
      </c>
      <c r="C107" s="8">
        <v>25000000</v>
      </c>
      <c r="D107" s="8"/>
      <c r="E107" s="8"/>
    </row>
    <row r="108" spans="1:5" ht="15.75" x14ac:dyDescent="0.25">
      <c r="A108" s="5">
        <v>16</v>
      </c>
      <c r="B108" s="87" t="s">
        <v>256</v>
      </c>
      <c r="C108" s="8">
        <v>80707000</v>
      </c>
      <c r="D108" s="8"/>
      <c r="E108" s="8"/>
    </row>
    <row r="109" spans="1:5" ht="15.75" x14ac:dyDescent="0.25">
      <c r="A109" s="5">
        <v>17</v>
      </c>
      <c r="B109" s="88" t="s">
        <v>257</v>
      </c>
      <c r="C109" s="89">
        <v>3670000</v>
      </c>
      <c r="D109" s="89"/>
      <c r="E109" s="89"/>
    </row>
    <row r="110" spans="1:5" ht="15.75" x14ac:dyDescent="0.25">
      <c r="A110" s="90"/>
      <c r="B110" s="91" t="s">
        <v>197</v>
      </c>
      <c r="C110" s="94">
        <f>SUM(C104:C109)</f>
        <v>486183760</v>
      </c>
      <c r="D110" s="94">
        <f>SUM(D104:D109)</f>
        <v>436734450</v>
      </c>
      <c r="E110" s="94">
        <f>C110-D110</f>
        <v>49449310</v>
      </c>
    </row>
    <row r="111" spans="1:5" ht="15.75" x14ac:dyDescent="0.25">
      <c r="A111" s="92"/>
      <c r="B111" s="92"/>
      <c r="C111" s="93"/>
      <c r="D111" s="93"/>
      <c r="E111" s="93"/>
    </row>
    <row r="112" spans="1:5" x14ac:dyDescent="0.25">
      <c r="C112" s="38"/>
      <c r="D112" s="38"/>
      <c r="E112" s="38"/>
    </row>
    <row r="113" spans="1:5" ht="15.75" x14ac:dyDescent="0.25">
      <c r="A113" s="134" t="s">
        <v>243</v>
      </c>
      <c r="B113" s="135"/>
      <c r="C113" s="135"/>
      <c r="D113" s="136"/>
      <c r="E113" s="38"/>
    </row>
    <row r="114" spans="1:5" ht="15.75" x14ac:dyDescent="0.25">
      <c r="A114" s="14">
        <v>1</v>
      </c>
      <c r="B114" s="21" t="s">
        <v>244</v>
      </c>
      <c r="C114" s="82"/>
      <c r="D114" s="82">
        <v>105750000</v>
      </c>
      <c r="E114" s="38"/>
    </row>
    <row r="115" spans="1:5" ht="15.75" x14ac:dyDescent="0.25">
      <c r="A115" s="14">
        <v>2</v>
      </c>
      <c r="B115" s="21" t="s">
        <v>245</v>
      </c>
      <c r="C115" s="82"/>
      <c r="D115" s="82">
        <v>140000000</v>
      </c>
      <c r="E115" s="38"/>
    </row>
    <row r="116" spans="1:5" ht="15.75" x14ac:dyDescent="0.25">
      <c r="A116" s="14">
        <v>3</v>
      </c>
      <c r="B116" s="21" t="s">
        <v>246</v>
      </c>
      <c r="C116" s="82"/>
      <c r="D116" s="82">
        <v>145000000</v>
      </c>
      <c r="E116" s="38"/>
    </row>
    <row r="117" spans="1:5" ht="15.75" x14ac:dyDescent="0.25">
      <c r="A117" s="19"/>
      <c r="B117" s="21"/>
      <c r="C117" s="82"/>
      <c r="D117" s="82"/>
      <c r="E117" s="38"/>
    </row>
    <row r="118" spans="1:5" ht="15.75" x14ac:dyDescent="0.25">
      <c r="A118" s="117"/>
      <c r="B118" s="12" t="s">
        <v>71</v>
      </c>
      <c r="C118" s="83"/>
      <c r="D118" s="83">
        <f>SUM(D114:D116)</f>
        <v>390750000</v>
      </c>
      <c r="E118" s="38"/>
    </row>
    <row r="119" spans="1:5" x14ac:dyDescent="0.25">
      <c r="C119" s="38"/>
      <c r="D119" s="38"/>
      <c r="E119" s="38"/>
    </row>
    <row r="120" spans="1:5" x14ac:dyDescent="0.25">
      <c r="C120" s="38"/>
      <c r="D120" s="38"/>
      <c r="E120" s="38"/>
    </row>
    <row r="121" spans="1:5" x14ac:dyDescent="0.25">
      <c r="C121" s="38"/>
      <c r="D121" s="38"/>
      <c r="E121" s="38"/>
    </row>
    <row r="122" spans="1:5" x14ac:dyDescent="0.25">
      <c r="A122" s="120" t="s">
        <v>247</v>
      </c>
      <c r="B122" s="121"/>
      <c r="C122" s="121"/>
      <c r="D122" s="122"/>
      <c r="E122" s="38"/>
    </row>
    <row r="123" spans="1:5" x14ac:dyDescent="0.25">
      <c r="A123" s="123" t="s">
        <v>252</v>
      </c>
      <c r="B123" s="124"/>
      <c r="C123" s="124"/>
      <c r="D123" s="125"/>
      <c r="E123" s="38"/>
    </row>
    <row r="124" spans="1:5" x14ac:dyDescent="0.25">
      <c r="A124" s="16">
        <v>45457</v>
      </c>
      <c r="B124" s="19" t="s">
        <v>248</v>
      </c>
      <c r="C124" s="18"/>
      <c r="D124" s="18">
        <v>134018500</v>
      </c>
      <c r="E124" s="38"/>
    </row>
    <row r="125" spans="1:5" x14ac:dyDescent="0.25">
      <c r="A125" s="16">
        <v>45485</v>
      </c>
      <c r="B125" s="19" t="s">
        <v>248</v>
      </c>
      <c r="C125" s="18"/>
      <c r="D125" s="18">
        <v>178691300</v>
      </c>
      <c r="E125" s="38"/>
    </row>
    <row r="126" spans="1:5" x14ac:dyDescent="0.25">
      <c r="A126" s="16">
        <v>45593</v>
      </c>
      <c r="B126" s="19" t="s">
        <v>249</v>
      </c>
      <c r="C126" s="18"/>
      <c r="D126" s="18">
        <v>150975300</v>
      </c>
      <c r="E126" s="38"/>
    </row>
    <row r="127" spans="1:5" x14ac:dyDescent="0.25">
      <c r="A127" s="117"/>
      <c r="B127" s="35" t="s">
        <v>197</v>
      </c>
      <c r="C127" s="116"/>
      <c r="D127" s="36">
        <f>SUM(D124:D126)</f>
        <v>463685100</v>
      </c>
      <c r="E127" s="38"/>
    </row>
    <row r="128" spans="1:5" x14ac:dyDescent="0.25">
      <c r="C128" s="38"/>
      <c r="D128" s="38"/>
      <c r="E128" s="38"/>
    </row>
    <row r="129" spans="1:5" x14ac:dyDescent="0.25">
      <c r="A129" s="120" t="s">
        <v>460</v>
      </c>
      <c r="B129" s="121"/>
      <c r="C129" s="121"/>
      <c r="D129" s="122"/>
      <c r="E129" s="38"/>
    </row>
    <row r="130" spans="1:5" x14ac:dyDescent="0.25">
      <c r="A130" s="123" t="s">
        <v>461</v>
      </c>
      <c r="B130" s="124"/>
      <c r="C130" s="124"/>
      <c r="D130" s="125"/>
      <c r="E130" s="38"/>
    </row>
    <row r="131" spans="1:5" ht="15.75" x14ac:dyDescent="0.25">
      <c r="A131" s="55">
        <v>45812</v>
      </c>
      <c r="B131" s="19" t="s">
        <v>462</v>
      </c>
      <c r="C131" s="19"/>
      <c r="D131" s="8">
        <v>2250000</v>
      </c>
    </row>
    <row r="132" spans="1:5" ht="15.75" x14ac:dyDescent="0.25">
      <c r="A132" s="55">
        <v>45820</v>
      </c>
      <c r="B132" s="19" t="s">
        <v>462</v>
      </c>
      <c r="C132" s="19"/>
      <c r="D132" s="8">
        <v>25000000</v>
      </c>
    </row>
    <row r="133" spans="1:5" ht="15.75" x14ac:dyDescent="0.25">
      <c r="A133" s="55">
        <v>45840</v>
      </c>
      <c r="B133" s="19" t="s">
        <v>462</v>
      </c>
      <c r="C133" s="19"/>
      <c r="D133" s="8">
        <v>80707000</v>
      </c>
    </row>
    <row r="134" spans="1:5" ht="15.75" x14ac:dyDescent="0.25">
      <c r="A134" s="55">
        <v>45851</v>
      </c>
      <c r="B134" s="88" t="s">
        <v>463</v>
      </c>
      <c r="C134" s="19"/>
      <c r="D134" s="89">
        <v>3670000</v>
      </c>
    </row>
    <row r="135" spans="1:5" x14ac:dyDescent="0.25">
      <c r="A135" s="117"/>
      <c r="B135" s="35" t="s">
        <v>197</v>
      </c>
      <c r="C135" s="117"/>
      <c r="D135" s="116">
        <f>SUM(D131:D134)</f>
        <v>111627000</v>
      </c>
    </row>
    <row r="136" spans="1:5" x14ac:dyDescent="0.25">
      <c r="A136" s="118"/>
      <c r="B136" s="118" t="s">
        <v>464</v>
      </c>
      <c r="C136" s="118"/>
      <c r="D136" s="119">
        <f>D127+D135</f>
        <v>575312100</v>
      </c>
    </row>
    <row r="138" spans="1:5" x14ac:dyDescent="0.25">
      <c r="D138" s="38"/>
    </row>
  </sheetData>
  <mergeCells count="18">
    <mergeCell ref="A35:E35"/>
    <mergeCell ref="A62:E62"/>
    <mergeCell ref="A129:D129"/>
    <mergeCell ref="A130:D130"/>
    <mergeCell ref="A123:D123"/>
    <mergeCell ref="A122:D122"/>
    <mergeCell ref="A1:E1"/>
    <mergeCell ref="A2:E2"/>
    <mergeCell ref="D28:E28"/>
    <mergeCell ref="A29:B29"/>
    <mergeCell ref="D29:E29"/>
    <mergeCell ref="A63:E63"/>
    <mergeCell ref="A87:E87"/>
    <mergeCell ref="A88:E88"/>
    <mergeCell ref="A113:D113"/>
    <mergeCell ref="A32:B32"/>
    <mergeCell ref="D32:E32"/>
    <mergeCell ref="A34:E34"/>
  </mergeCells>
  <pageMargins left="0.7" right="0.7" top="0.75" bottom="0.75" header="0.3" footer="0.3"/>
  <pageSetup paperSize="1000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5ADB-0AFA-4118-9237-D1F0853D7F27}">
  <dimension ref="A1:F754"/>
  <sheetViews>
    <sheetView topLeftCell="A133" workbookViewId="0">
      <selection activeCell="I34" sqref="I34"/>
    </sheetView>
  </sheetViews>
  <sheetFormatPr defaultRowHeight="15" x14ac:dyDescent="0.25"/>
  <cols>
    <col min="2" max="2" width="10.7109375" bestFit="1" customWidth="1"/>
    <col min="3" max="3" width="24.7109375" bestFit="1" customWidth="1"/>
    <col min="4" max="6" width="11.5703125" bestFit="1" customWidth="1"/>
  </cols>
  <sheetData>
    <row r="1" spans="1:6" ht="15.75" x14ac:dyDescent="0.25">
      <c r="A1" s="138" t="s">
        <v>19</v>
      </c>
      <c r="B1" s="139"/>
      <c r="C1" s="139"/>
      <c r="D1" s="139"/>
      <c r="E1" s="139"/>
      <c r="F1" s="140"/>
    </row>
    <row r="2" spans="1:6" ht="15.75" x14ac:dyDescent="0.25">
      <c r="A2" s="141" t="s">
        <v>20</v>
      </c>
      <c r="B2" s="142"/>
      <c r="C2" s="142"/>
      <c r="D2" s="142"/>
      <c r="E2" s="142"/>
      <c r="F2" s="143"/>
    </row>
    <row r="3" spans="1:6" x14ac:dyDescent="0.25">
      <c r="A3" s="14" t="s">
        <v>1</v>
      </c>
      <c r="B3" s="14" t="s">
        <v>21</v>
      </c>
      <c r="C3" s="14" t="s">
        <v>22</v>
      </c>
      <c r="D3" s="15" t="s">
        <v>23</v>
      </c>
      <c r="E3" s="15" t="s">
        <v>24</v>
      </c>
      <c r="F3" s="15" t="s">
        <v>5</v>
      </c>
    </row>
    <row r="4" spans="1:6" x14ac:dyDescent="0.25">
      <c r="A4" s="14">
        <v>1</v>
      </c>
      <c r="B4" s="16">
        <v>45655</v>
      </c>
      <c r="C4" s="17" t="s">
        <v>25</v>
      </c>
      <c r="D4" s="18">
        <v>750000</v>
      </c>
      <c r="E4" s="18"/>
      <c r="F4" s="18"/>
    </row>
    <row r="5" spans="1:6" x14ac:dyDescent="0.25">
      <c r="A5" s="14">
        <v>2</v>
      </c>
      <c r="B5" s="16">
        <v>45657</v>
      </c>
      <c r="C5" s="17" t="s">
        <v>26</v>
      </c>
      <c r="D5" s="18">
        <v>980000</v>
      </c>
      <c r="E5" s="18"/>
      <c r="F5" s="18"/>
    </row>
    <row r="6" spans="1:6" x14ac:dyDescent="0.25">
      <c r="A6" s="14">
        <v>3</v>
      </c>
      <c r="B6" s="16">
        <v>45659</v>
      </c>
      <c r="C6" s="17" t="s">
        <v>27</v>
      </c>
      <c r="D6" s="18">
        <v>1250000</v>
      </c>
      <c r="E6" s="18"/>
      <c r="F6" s="18"/>
    </row>
    <row r="7" spans="1:6" x14ac:dyDescent="0.25">
      <c r="A7" s="14">
        <v>4</v>
      </c>
      <c r="B7" s="16">
        <v>45659</v>
      </c>
      <c r="C7" s="17" t="s">
        <v>28</v>
      </c>
      <c r="D7" s="18">
        <v>1325000</v>
      </c>
      <c r="E7" s="18"/>
      <c r="F7" s="18"/>
    </row>
    <row r="8" spans="1:6" x14ac:dyDescent="0.25">
      <c r="A8" s="14">
        <v>5</v>
      </c>
      <c r="B8" s="16">
        <v>45659</v>
      </c>
      <c r="C8" s="17" t="s">
        <v>29</v>
      </c>
      <c r="D8" s="18">
        <v>750000</v>
      </c>
      <c r="E8" s="18"/>
      <c r="F8" s="18"/>
    </row>
    <row r="9" spans="1:6" x14ac:dyDescent="0.25">
      <c r="A9" s="14">
        <v>6</v>
      </c>
      <c r="B9" s="16">
        <v>45659</v>
      </c>
      <c r="C9" s="17" t="s">
        <v>30</v>
      </c>
      <c r="D9" s="18">
        <v>910000</v>
      </c>
      <c r="E9" s="18"/>
      <c r="F9" s="18"/>
    </row>
    <row r="10" spans="1:6" x14ac:dyDescent="0.25">
      <c r="A10" s="14">
        <v>7</v>
      </c>
      <c r="B10" s="16">
        <v>45660</v>
      </c>
      <c r="C10" s="17" t="s">
        <v>31</v>
      </c>
      <c r="D10" s="18">
        <v>1475000</v>
      </c>
      <c r="E10" s="18"/>
      <c r="F10" s="18"/>
    </row>
    <row r="11" spans="1:6" x14ac:dyDescent="0.25">
      <c r="A11" s="14">
        <v>8</v>
      </c>
      <c r="B11" s="16">
        <v>45660</v>
      </c>
      <c r="C11" s="17" t="s">
        <v>32</v>
      </c>
      <c r="D11" s="18">
        <v>1125000</v>
      </c>
      <c r="E11" s="18"/>
      <c r="F11" s="18"/>
    </row>
    <row r="12" spans="1:6" x14ac:dyDescent="0.25">
      <c r="A12" s="14">
        <v>9</v>
      </c>
      <c r="B12" s="16">
        <v>45663</v>
      </c>
      <c r="C12" s="17" t="s">
        <v>33</v>
      </c>
      <c r="D12" s="18">
        <v>1125000</v>
      </c>
      <c r="E12" s="18"/>
      <c r="F12" s="18"/>
    </row>
    <row r="13" spans="1:6" x14ac:dyDescent="0.25">
      <c r="A13" s="14">
        <v>10</v>
      </c>
      <c r="B13" s="16">
        <v>45663</v>
      </c>
      <c r="C13" s="17" t="s">
        <v>34</v>
      </c>
      <c r="D13" s="18">
        <v>1375000</v>
      </c>
      <c r="E13" s="18"/>
      <c r="F13" s="18"/>
    </row>
    <row r="14" spans="1:6" x14ac:dyDescent="0.25">
      <c r="A14" s="14">
        <v>11</v>
      </c>
      <c r="B14" s="16">
        <v>45663</v>
      </c>
      <c r="C14" s="17" t="s">
        <v>35</v>
      </c>
      <c r="D14" s="18">
        <v>880000</v>
      </c>
      <c r="E14" s="18"/>
      <c r="F14" s="18"/>
    </row>
    <row r="15" spans="1:6" x14ac:dyDescent="0.25">
      <c r="A15" s="14">
        <v>12</v>
      </c>
      <c r="B15" s="16">
        <v>45663</v>
      </c>
      <c r="C15" s="17" t="s">
        <v>36</v>
      </c>
      <c r="D15" s="18">
        <v>750000</v>
      </c>
      <c r="E15" s="18"/>
      <c r="F15" s="18"/>
    </row>
    <row r="16" spans="1:6" x14ac:dyDescent="0.25">
      <c r="A16" s="14">
        <v>13</v>
      </c>
      <c r="B16" s="16">
        <v>45664</v>
      </c>
      <c r="C16" s="17" t="s">
        <v>37</v>
      </c>
      <c r="D16" s="18">
        <v>625000</v>
      </c>
      <c r="E16" s="18"/>
      <c r="F16" s="18"/>
    </row>
    <row r="17" spans="1:6" x14ac:dyDescent="0.25">
      <c r="A17" s="14">
        <v>14</v>
      </c>
      <c r="B17" s="16">
        <v>45664</v>
      </c>
      <c r="C17" s="17" t="s">
        <v>38</v>
      </c>
      <c r="D17" s="18">
        <v>900000</v>
      </c>
      <c r="E17" s="18"/>
      <c r="F17" s="18"/>
    </row>
    <row r="18" spans="1:6" x14ac:dyDescent="0.25">
      <c r="A18" s="14">
        <v>15</v>
      </c>
      <c r="B18" s="16">
        <v>45665</v>
      </c>
      <c r="C18" s="17" t="s">
        <v>39</v>
      </c>
      <c r="D18" s="18">
        <v>1575000</v>
      </c>
      <c r="E18" s="18"/>
      <c r="F18" s="18"/>
    </row>
    <row r="19" spans="1:6" x14ac:dyDescent="0.25">
      <c r="A19" s="14">
        <v>16</v>
      </c>
      <c r="B19" s="16">
        <v>45665</v>
      </c>
      <c r="C19" s="17" t="s">
        <v>40</v>
      </c>
      <c r="D19" s="18">
        <v>1375000</v>
      </c>
      <c r="E19" s="18"/>
      <c r="F19" s="18"/>
    </row>
    <row r="20" spans="1:6" x14ac:dyDescent="0.25">
      <c r="A20" s="14">
        <v>17</v>
      </c>
      <c r="B20" s="16">
        <v>45665</v>
      </c>
      <c r="C20" s="17" t="s">
        <v>26</v>
      </c>
      <c r="D20" s="18">
        <v>30000</v>
      </c>
      <c r="E20" s="18"/>
      <c r="F20" s="18"/>
    </row>
    <row r="21" spans="1:6" x14ac:dyDescent="0.25">
      <c r="A21" s="14">
        <v>18</v>
      </c>
      <c r="B21" s="16">
        <v>45665</v>
      </c>
      <c r="C21" s="17" t="s">
        <v>41</v>
      </c>
      <c r="D21" s="18">
        <v>625000</v>
      </c>
      <c r="E21" s="18"/>
      <c r="F21" s="18"/>
    </row>
    <row r="22" spans="1:6" x14ac:dyDescent="0.25">
      <c r="A22" s="14">
        <v>19</v>
      </c>
      <c r="B22" s="16">
        <v>45665</v>
      </c>
      <c r="C22" s="17" t="s">
        <v>42</v>
      </c>
      <c r="D22" s="18">
        <v>1125000</v>
      </c>
      <c r="E22" s="18"/>
      <c r="F22" s="18"/>
    </row>
    <row r="23" spans="1:6" x14ac:dyDescent="0.25">
      <c r="A23" s="14">
        <v>20</v>
      </c>
      <c r="B23" s="16">
        <v>45665</v>
      </c>
      <c r="C23" s="17" t="s">
        <v>43</v>
      </c>
      <c r="D23" s="18">
        <v>930000</v>
      </c>
      <c r="E23" s="18"/>
      <c r="F23" s="18"/>
    </row>
    <row r="24" spans="1:6" x14ac:dyDescent="0.25">
      <c r="A24" s="14">
        <v>21</v>
      </c>
      <c r="B24" s="16">
        <v>45665</v>
      </c>
      <c r="C24" s="17" t="s">
        <v>37</v>
      </c>
      <c r="D24" s="18">
        <v>125000</v>
      </c>
      <c r="E24" s="18"/>
      <c r="F24" s="18"/>
    </row>
    <row r="25" spans="1:6" x14ac:dyDescent="0.25">
      <c r="A25" s="14">
        <v>22</v>
      </c>
      <c r="B25" s="16">
        <v>45666</v>
      </c>
      <c r="C25" s="17" t="s">
        <v>44</v>
      </c>
      <c r="D25" s="18">
        <v>1315000</v>
      </c>
      <c r="E25" s="18"/>
      <c r="F25" s="18"/>
    </row>
    <row r="26" spans="1:6" x14ac:dyDescent="0.25">
      <c r="A26" s="14">
        <v>23</v>
      </c>
      <c r="B26" s="16">
        <v>45666</v>
      </c>
      <c r="C26" s="17" t="s">
        <v>45</v>
      </c>
      <c r="D26" s="18">
        <v>1325000</v>
      </c>
      <c r="E26" s="18"/>
      <c r="F26" s="18"/>
    </row>
    <row r="27" spans="1:6" x14ac:dyDescent="0.25">
      <c r="A27" s="14">
        <v>24</v>
      </c>
      <c r="B27" s="16">
        <v>45666</v>
      </c>
      <c r="C27" s="17" t="s">
        <v>46</v>
      </c>
      <c r="D27" s="18">
        <v>1125000</v>
      </c>
      <c r="E27" s="18"/>
      <c r="F27" s="18"/>
    </row>
    <row r="28" spans="1:6" x14ac:dyDescent="0.25">
      <c r="A28" s="14">
        <v>25</v>
      </c>
      <c r="B28" s="16">
        <v>45666</v>
      </c>
      <c r="C28" s="17" t="s">
        <v>47</v>
      </c>
      <c r="D28" s="18">
        <v>100000</v>
      </c>
      <c r="E28" s="18"/>
      <c r="F28" s="18"/>
    </row>
    <row r="29" spans="1:6" x14ac:dyDescent="0.25">
      <c r="A29" s="14">
        <v>26</v>
      </c>
      <c r="B29" s="16">
        <v>45667</v>
      </c>
      <c r="C29" s="17" t="s">
        <v>48</v>
      </c>
      <c r="D29" s="18">
        <v>750000</v>
      </c>
      <c r="E29" s="18"/>
      <c r="F29" s="18"/>
    </row>
    <row r="30" spans="1:6" x14ac:dyDescent="0.25">
      <c r="A30" s="14">
        <v>27</v>
      </c>
      <c r="B30" s="16">
        <v>45667</v>
      </c>
      <c r="C30" s="17" t="s">
        <v>49</v>
      </c>
      <c r="D30" s="18">
        <v>750000</v>
      </c>
      <c r="E30" s="18"/>
      <c r="F30" s="18"/>
    </row>
    <row r="31" spans="1:6" x14ac:dyDescent="0.25">
      <c r="A31" s="14"/>
      <c r="B31" s="19"/>
      <c r="C31" s="20" t="s">
        <v>4</v>
      </c>
      <c r="D31" s="18"/>
      <c r="E31" s="18"/>
      <c r="F31" s="18"/>
    </row>
    <row r="32" spans="1:6" ht="15.75" x14ac:dyDescent="0.25">
      <c r="A32" s="14">
        <v>28</v>
      </c>
      <c r="B32" s="19"/>
      <c r="C32" s="21" t="s">
        <v>50</v>
      </c>
      <c r="D32" s="18"/>
      <c r="E32" s="18">
        <v>1350000</v>
      </c>
      <c r="F32" s="18"/>
    </row>
    <row r="33" spans="1:6" ht="15.75" x14ac:dyDescent="0.25">
      <c r="A33" s="14">
        <v>29</v>
      </c>
      <c r="B33" s="19"/>
      <c r="C33" s="21" t="s">
        <v>51</v>
      </c>
      <c r="D33" s="18"/>
      <c r="E33" s="18">
        <v>1350000</v>
      </c>
      <c r="F33" s="18"/>
    </row>
    <row r="34" spans="1:6" ht="15.75" x14ac:dyDescent="0.25">
      <c r="A34" s="14">
        <v>30</v>
      </c>
      <c r="B34" s="19"/>
      <c r="C34" s="21" t="s">
        <v>52</v>
      </c>
      <c r="D34" s="18"/>
      <c r="E34" s="18">
        <v>1250000</v>
      </c>
      <c r="F34" s="18"/>
    </row>
    <row r="35" spans="1:6" ht="15.75" x14ac:dyDescent="0.25">
      <c r="A35" s="14">
        <v>31</v>
      </c>
      <c r="B35" s="19"/>
      <c r="C35" s="21" t="s">
        <v>53</v>
      </c>
      <c r="D35" s="18"/>
      <c r="E35" s="18">
        <v>1250000</v>
      </c>
      <c r="F35" s="18"/>
    </row>
    <row r="36" spans="1:6" ht="15.75" x14ac:dyDescent="0.25">
      <c r="A36" s="14">
        <v>32</v>
      </c>
      <c r="B36" s="19"/>
      <c r="C36" s="21" t="s">
        <v>54</v>
      </c>
      <c r="D36" s="18"/>
      <c r="E36" s="18">
        <v>75000</v>
      </c>
      <c r="F36" s="18"/>
    </row>
    <row r="37" spans="1:6" ht="15.75" x14ac:dyDescent="0.25">
      <c r="A37" s="14">
        <v>33</v>
      </c>
      <c r="B37" s="19"/>
      <c r="C37" s="21" t="s">
        <v>55</v>
      </c>
      <c r="D37" s="18"/>
      <c r="E37" s="18">
        <v>760000</v>
      </c>
      <c r="F37" s="18"/>
    </row>
    <row r="38" spans="1:6" ht="15.75" x14ac:dyDescent="0.25">
      <c r="A38" s="14">
        <v>34</v>
      </c>
      <c r="B38" s="19"/>
      <c r="C38" s="21" t="s">
        <v>56</v>
      </c>
      <c r="D38" s="18"/>
      <c r="E38" s="18">
        <v>1280000</v>
      </c>
      <c r="F38" s="18"/>
    </row>
    <row r="39" spans="1:6" ht="15.75" x14ac:dyDescent="0.25">
      <c r="A39" s="14">
        <v>35</v>
      </c>
      <c r="B39" s="19"/>
      <c r="C39" s="21" t="s">
        <v>57</v>
      </c>
      <c r="D39" s="18"/>
      <c r="E39" s="18">
        <v>39000</v>
      </c>
      <c r="F39" s="18"/>
    </row>
    <row r="40" spans="1:6" ht="15.75" x14ac:dyDescent="0.25">
      <c r="A40" s="14">
        <v>36</v>
      </c>
      <c r="B40" s="19"/>
      <c r="C40" s="21" t="s">
        <v>58</v>
      </c>
      <c r="D40" s="18"/>
      <c r="E40" s="18">
        <v>16000</v>
      </c>
      <c r="F40" s="18"/>
    </row>
    <row r="41" spans="1:6" ht="15.75" x14ac:dyDescent="0.25">
      <c r="A41" s="14">
        <v>37</v>
      </c>
      <c r="B41" s="19"/>
      <c r="C41" s="21" t="s">
        <v>59</v>
      </c>
      <c r="D41" s="18"/>
      <c r="E41" s="18">
        <v>13000</v>
      </c>
      <c r="F41" s="18"/>
    </row>
    <row r="42" spans="1:6" ht="15.75" x14ac:dyDescent="0.25">
      <c r="A42" s="14">
        <v>38</v>
      </c>
      <c r="B42" s="19"/>
      <c r="C42" s="21" t="s">
        <v>60</v>
      </c>
      <c r="D42" s="18"/>
      <c r="E42" s="18">
        <v>19000</v>
      </c>
      <c r="F42" s="18"/>
    </row>
    <row r="43" spans="1:6" ht="15.75" x14ac:dyDescent="0.25">
      <c r="A43" s="14">
        <v>39</v>
      </c>
      <c r="B43" s="19"/>
      <c r="C43" s="21" t="s">
        <v>61</v>
      </c>
      <c r="D43" s="18"/>
      <c r="E43" s="18">
        <v>75500</v>
      </c>
      <c r="F43" s="18"/>
    </row>
    <row r="44" spans="1:6" ht="15.75" x14ac:dyDescent="0.25">
      <c r="A44" s="14">
        <v>40</v>
      </c>
      <c r="B44" s="19"/>
      <c r="C44" s="21" t="s">
        <v>62</v>
      </c>
      <c r="D44" s="18"/>
      <c r="E44" s="18">
        <v>9000</v>
      </c>
      <c r="F44" s="18"/>
    </row>
    <row r="45" spans="1:6" ht="15.75" x14ac:dyDescent="0.25">
      <c r="A45" s="14">
        <v>41</v>
      </c>
      <c r="B45" s="19"/>
      <c r="C45" s="21" t="s">
        <v>61</v>
      </c>
      <c r="D45" s="18"/>
      <c r="E45" s="18">
        <v>75500</v>
      </c>
      <c r="F45" s="18"/>
    </row>
    <row r="46" spans="1:6" ht="15.75" x14ac:dyDescent="0.25">
      <c r="A46" s="14">
        <v>42</v>
      </c>
      <c r="B46" s="19"/>
      <c r="C46" s="21" t="s">
        <v>63</v>
      </c>
      <c r="D46" s="18"/>
      <c r="E46" s="18">
        <v>40000</v>
      </c>
      <c r="F46" s="18"/>
    </row>
    <row r="47" spans="1:6" ht="15.75" x14ac:dyDescent="0.25">
      <c r="A47" s="14">
        <v>43</v>
      </c>
      <c r="B47" s="19"/>
      <c r="C47" s="21" t="s">
        <v>64</v>
      </c>
      <c r="D47" s="18"/>
      <c r="E47" s="18">
        <v>35000</v>
      </c>
      <c r="F47" s="18"/>
    </row>
    <row r="48" spans="1:6" ht="15.75" x14ac:dyDescent="0.25">
      <c r="A48" s="14">
        <v>44</v>
      </c>
      <c r="B48" s="19"/>
      <c r="C48" s="21" t="s">
        <v>65</v>
      </c>
      <c r="D48" s="18"/>
      <c r="E48" s="18">
        <v>37500</v>
      </c>
      <c r="F48" s="18"/>
    </row>
    <row r="49" spans="1:6" ht="15.75" x14ac:dyDescent="0.25">
      <c r="A49" s="14">
        <v>45</v>
      </c>
      <c r="B49" s="19"/>
      <c r="C49" s="21" t="s">
        <v>66</v>
      </c>
      <c r="D49" s="18"/>
      <c r="E49" s="18">
        <v>1400850</v>
      </c>
      <c r="F49" s="18"/>
    </row>
    <row r="50" spans="1:6" ht="15.75" x14ac:dyDescent="0.25">
      <c r="A50" s="14">
        <v>46</v>
      </c>
      <c r="B50" s="19"/>
      <c r="C50" s="21" t="s">
        <v>61</v>
      </c>
      <c r="D50" s="18"/>
      <c r="E50" s="18">
        <v>77000</v>
      </c>
      <c r="F50" s="18"/>
    </row>
    <row r="51" spans="1:6" ht="15.75" x14ac:dyDescent="0.25">
      <c r="A51" s="14">
        <v>47</v>
      </c>
      <c r="B51" s="19"/>
      <c r="C51" s="21" t="s">
        <v>67</v>
      </c>
      <c r="D51" s="18"/>
      <c r="E51" s="18">
        <v>300000</v>
      </c>
      <c r="F51" s="18"/>
    </row>
    <row r="52" spans="1:6" ht="15.75" x14ac:dyDescent="0.25">
      <c r="A52" s="14">
        <v>48</v>
      </c>
      <c r="B52" s="19"/>
      <c r="C52" s="21" t="s">
        <v>61</v>
      </c>
      <c r="D52" s="18"/>
      <c r="E52" s="18">
        <v>78000</v>
      </c>
      <c r="F52" s="18"/>
    </row>
    <row r="53" spans="1:6" ht="15.75" x14ac:dyDescent="0.25">
      <c r="A53" s="22">
        <v>49</v>
      </c>
      <c r="B53" s="23"/>
      <c r="C53" s="24" t="s">
        <v>68</v>
      </c>
      <c r="D53" s="25"/>
      <c r="E53" s="25">
        <v>12000</v>
      </c>
      <c r="F53" s="25"/>
    </row>
    <row r="54" spans="1:6" ht="15.75" x14ac:dyDescent="0.25">
      <c r="A54" s="22">
        <v>50</v>
      </c>
      <c r="B54" s="26"/>
      <c r="C54" s="27" t="s">
        <v>69</v>
      </c>
      <c r="D54" s="25"/>
      <c r="E54" s="28">
        <v>111000</v>
      </c>
      <c r="F54" s="28"/>
    </row>
    <row r="55" spans="1:6" ht="15.75" x14ac:dyDescent="0.25">
      <c r="A55" s="29"/>
      <c r="B55" s="30"/>
      <c r="C55" s="31" t="s">
        <v>70</v>
      </c>
      <c r="D55" s="32"/>
      <c r="E55" s="33"/>
      <c r="F55" s="33"/>
    </row>
    <row r="56" spans="1:6" x14ac:dyDescent="0.25">
      <c r="A56" s="34"/>
      <c r="B56" s="35"/>
      <c r="C56" s="35" t="s">
        <v>71</v>
      </c>
      <c r="D56" s="36">
        <f>SUM(D4:D55)</f>
        <v>25370000</v>
      </c>
      <c r="E56" s="36">
        <f>SUM(E32:E55)</f>
        <v>9653350</v>
      </c>
      <c r="F56" s="36">
        <f>D56-E56</f>
        <v>15716650</v>
      </c>
    </row>
    <row r="57" spans="1:6" x14ac:dyDescent="0.25">
      <c r="A57" s="112"/>
      <c r="D57" s="38"/>
      <c r="E57" s="38"/>
      <c r="F57" s="38"/>
    </row>
    <row r="58" spans="1:6" x14ac:dyDescent="0.25">
      <c r="A58" s="112"/>
      <c r="D58" s="38"/>
      <c r="E58" s="38"/>
      <c r="F58" s="38"/>
    </row>
    <row r="59" spans="1:6" x14ac:dyDescent="0.25">
      <c r="A59" s="112"/>
      <c r="D59" s="137" t="s">
        <v>72</v>
      </c>
      <c r="E59" s="137"/>
      <c r="F59" s="137"/>
    </row>
    <row r="60" spans="1:6" x14ac:dyDescent="0.25">
      <c r="A60" s="133" t="s">
        <v>73</v>
      </c>
      <c r="B60" s="133"/>
      <c r="C60" s="133"/>
      <c r="D60" s="137" t="s">
        <v>74</v>
      </c>
      <c r="E60" s="137"/>
      <c r="F60" s="137"/>
    </row>
    <row r="61" spans="1:6" x14ac:dyDescent="0.25">
      <c r="A61" s="112"/>
      <c r="D61" s="38"/>
      <c r="E61" s="38"/>
      <c r="F61" s="38"/>
    </row>
    <row r="62" spans="1:6" x14ac:dyDescent="0.25">
      <c r="A62" s="112"/>
      <c r="D62" s="38"/>
      <c r="E62" s="38"/>
      <c r="F62" s="38"/>
    </row>
    <row r="63" spans="1:6" x14ac:dyDescent="0.25">
      <c r="A63" s="133" t="s">
        <v>75</v>
      </c>
      <c r="B63" s="133"/>
      <c r="C63" s="133"/>
      <c r="D63" s="137" t="s">
        <v>76</v>
      </c>
      <c r="E63" s="137"/>
      <c r="F63" s="137"/>
    </row>
    <row r="66" spans="1:6" ht="15.75" x14ac:dyDescent="0.25">
      <c r="A66" s="138" t="s">
        <v>19</v>
      </c>
      <c r="B66" s="139"/>
      <c r="C66" s="139"/>
      <c r="D66" s="139"/>
      <c r="E66" s="139"/>
      <c r="F66" s="140"/>
    </row>
    <row r="67" spans="1:6" ht="15.75" x14ac:dyDescent="0.25">
      <c r="A67" s="141" t="s">
        <v>77</v>
      </c>
      <c r="B67" s="142"/>
      <c r="C67" s="142"/>
      <c r="D67" s="142"/>
      <c r="E67" s="142"/>
      <c r="F67" s="143"/>
    </row>
    <row r="68" spans="1:6" x14ac:dyDescent="0.25">
      <c r="A68" s="14" t="s">
        <v>1</v>
      </c>
      <c r="B68" s="14" t="s">
        <v>21</v>
      </c>
      <c r="C68" s="14" t="s">
        <v>22</v>
      </c>
      <c r="D68" s="15" t="s">
        <v>23</v>
      </c>
      <c r="E68" s="15" t="s">
        <v>24</v>
      </c>
      <c r="F68" s="15" t="s">
        <v>5</v>
      </c>
    </row>
    <row r="69" spans="1:6" x14ac:dyDescent="0.25">
      <c r="A69" s="14">
        <v>1</v>
      </c>
      <c r="B69" s="16">
        <v>45689</v>
      </c>
      <c r="C69" s="17" t="s">
        <v>29</v>
      </c>
      <c r="D69" s="40">
        <v>750000</v>
      </c>
      <c r="E69" s="18"/>
      <c r="F69" s="40"/>
    </row>
    <row r="70" spans="1:6" x14ac:dyDescent="0.25">
      <c r="A70" s="14">
        <v>2</v>
      </c>
      <c r="B70" s="16">
        <v>45690</v>
      </c>
      <c r="C70" s="17" t="s">
        <v>27</v>
      </c>
      <c r="D70" s="40">
        <v>1250000</v>
      </c>
      <c r="E70" s="40"/>
      <c r="F70" s="40"/>
    </row>
    <row r="71" spans="1:6" x14ac:dyDescent="0.25">
      <c r="A71" s="14">
        <v>3</v>
      </c>
      <c r="B71" s="16">
        <v>45691</v>
      </c>
      <c r="C71" s="17" t="s">
        <v>31</v>
      </c>
      <c r="D71" s="40">
        <v>1275000</v>
      </c>
      <c r="E71" s="18"/>
      <c r="F71" s="40"/>
    </row>
    <row r="72" spans="1:6" x14ac:dyDescent="0.25">
      <c r="A72" s="14">
        <v>4</v>
      </c>
      <c r="B72" s="16">
        <v>45691</v>
      </c>
      <c r="C72" s="17" t="s">
        <v>30</v>
      </c>
      <c r="D72" s="40">
        <v>780000</v>
      </c>
      <c r="E72" s="40"/>
      <c r="F72" s="40"/>
    </row>
    <row r="73" spans="1:6" x14ac:dyDescent="0.25">
      <c r="A73" s="14">
        <v>5</v>
      </c>
      <c r="B73" s="16">
        <v>45691</v>
      </c>
      <c r="C73" s="17" t="s">
        <v>32</v>
      </c>
      <c r="D73" s="40">
        <v>1125000</v>
      </c>
      <c r="E73" s="40"/>
      <c r="F73" s="40"/>
    </row>
    <row r="74" spans="1:6" x14ac:dyDescent="0.25">
      <c r="A74" s="14">
        <v>6</v>
      </c>
      <c r="B74" s="16">
        <v>45691</v>
      </c>
      <c r="C74" s="17" t="s">
        <v>26</v>
      </c>
      <c r="D74" s="40">
        <v>910000</v>
      </c>
      <c r="E74" s="18"/>
      <c r="F74" s="40"/>
    </row>
    <row r="75" spans="1:6" x14ac:dyDescent="0.25">
      <c r="A75" s="14">
        <v>7</v>
      </c>
      <c r="B75" s="16">
        <v>45691</v>
      </c>
      <c r="C75" s="17" t="s">
        <v>34</v>
      </c>
      <c r="D75" s="40">
        <v>1375000</v>
      </c>
      <c r="E75" s="40"/>
      <c r="F75" s="40"/>
    </row>
    <row r="76" spans="1:6" x14ac:dyDescent="0.25">
      <c r="A76" s="14">
        <v>8</v>
      </c>
      <c r="B76" s="16">
        <v>45692</v>
      </c>
      <c r="C76" s="17" t="s">
        <v>28</v>
      </c>
      <c r="D76" s="40">
        <v>1265000</v>
      </c>
      <c r="E76" s="40"/>
      <c r="F76" s="40"/>
    </row>
    <row r="77" spans="1:6" x14ac:dyDescent="0.25">
      <c r="A77" s="14">
        <v>9</v>
      </c>
      <c r="B77" s="16">
        <v>45692</v>
      </c>
      <c r="C77" s="17" t="s">
        <v>43</v>
      </c>
      <c r="D77" s="40">
        <v>940000</v>
      </c>
      <c r="E77" s="40"/>
      <c r="F77" s="40"/>
    </row>
    <row r="78" spans="1:6" x14ac:dyDescent="0.25">
      <c r="A78" s="14">
        <v>10</v>
      </c>
      <c r="B78" s="16">
        <v>45693</v>
      </c>
      <c r="C78" s="17" t="s">
        <v>78</v>
      </c>
      <c r="D78" s="40">
        <v>2750000</v>
      </c>
      <c r="E78" s="18"/>
      <c r="F78" s="40"/>
    </row>
    <row r="79" spans="1:6" x14ac:dyDescent="0.25">
      <c r="A79" s="14">
        <v>11</v>
      </c>
      <c r="B79" s="16">
        <v>45693</v>
      </c>
      <c r="C79" s="17" t="s">
        <v>48</v>
      </c>
      <c r="D79" s="18">
        <v>750000</v>
      </c>
      <c r="E79" s="40"/>
      <c r="F79" s="40"/>
    </row>
    <row r="80" spans="1:6" x14ac:dyDescent="0.25">
      <c r="A80" s="14">
        <v>12</v>
      </c>
      <c r="B80" s="16">
        <v>45694</v>
      </c>
      <c r="C80" s="17" t="s">
        <v>33</v>
      </c>
      <c r="D80" s="40">
        <v>1125000</v>
      </c>
      <c r="E80" s="18"/>
      <c r="F80" s="40"/>
    </row>
    <row r="81" spans="1:6" x14ac:dyDescent="0.25">
      <c r="A81" s="14">
        <v>13</v>
      </c>
      <c r="B81" s="16">
        <v>45694</v>
      </c>
      <c r="C81" s="17" t="s">
        <v>37</v>
      </c>
      <c r="D81" s="40">
        <v>750000</v>
      </c>
      <c r="E81" s="40"/>
      <c r="F81" s="40"/>
    </row>
    <row r="82" spans="1:6" x14ac:dyDescent="0.25">
      <c r="A82" s="14">
        <v>14</v>
      </c>
      <c r="B82" s="16">
        <v>45694</v>
      </c>
      <c r="C82" s="17" t="s">
        <v>40</v>
      </c>
      <c r="D82" s="40">
        <v>1375000</v>
      </c>
      <c r="E82" s="40"/>
      <c r="F82" s="40"/>
    </row>
    <row r="83" spans="1:6" x14ac:dyDescent="0.25">
      <c r="A83" s="14">
        <v>15</v>
      </c>
      <c r="B83" s="16">
        <v>45694</v>
      </c>
      <c r="C83" s="17" t="s">
        <v>46</v>
      </c>
      <c r="D83" s="40">
        <v>1125000</v>
      </c>
      <c r="E83" s="40"/>
      <c r="F83" s="40"/>
    </row>
    <row r="84" spans="1:6" x14ac:dyDescent="0.25">
      <c r="A84" s="14">
        <v>16</v>
      </c>
      <c r="B84" s="16">
        <v>45695</v>
      </c>
      <c r="C84" s="17" t="s">
        <v>25</v>
      </c>
      <c r="D84" s="40">
        <v>750000</v>
      </c>
      <c r="E84" s="18"/>
      <c r="F84" s="40"/>
    </row>
    <row r="85" spans="1:6" x14ac:dyDescent="0.25">
      <c r="A85" s="14">
        <v>17</v>
      </c>
      <c r="B85" s="16">
        <v>45695</v>
      </c>
      <c r="C85" s="17" t="s">
        <v>36</v>
      </c>
      <c r="D85" s="40">
        <v>750000</v>
      </c>
      <c r="E85" s="18"/>
      <c r="F85" s="40"/>
    </row>
    <row r="86" spans="1:6" x14ac:dyDescent="0.25">
      <c r="A86" s="14">
        <v>18</v>
      </c>
      <c r="B86" s="16">
        <v>45698</v>
      </c>
      <c r="C86" s="17" t="s">
        <v>44</v>
      </c>
      <c r="D86" s="40">
        <v>1305000</v>
      </c>
      <c r="E86" s="18"/>
      <c r="F86" s="40"/>
    </row>
    <row r="87" spans="1:6" x14ac:dyDescent="0.25">
      <c r="A87" s="14">
        <v>19</v>
      </c>
      <c r="B87" s="16">
        <v>45699</v>
      </c>
      <c r="C87" s="17" t="s">
        <v>35</v>
      </c>
      <c r="D87" s="40">
        <v>880000</v>
      </c>
      <c r="E87" s="40"/>
      <c r="F87" s="40"/>
    </row>
    <row r="88" spans="1:6" x14ac:dyDescent="0.25">
      <c r="A88" s="14">
        <v>20</v>
      </c>
      <c r="B88" s="16">
        <v>45700</v>
      </c>
      <c r="C88" s="17" t="s">
        <v>45</v>
      </c>
      <c r="D88" s="18">
        <v>1265000</v>
      </c>
      <c r="E88" s="18"/>
      <c r="F88" s="40"/>
    </row>
    <row r="89" spans="1:6" x14ac:dyDescent="0.25">
      <c r="A89" s="14">
        <v>21</v>
      </c>
      <c r="B89" s="16">
        <v>45706</v>
      </c>
      <c r="C89" s="17" t="s">
        <v>38</v>
      </c>
      <c r="D89" s="18">
        <v>1040000</v>
      </c>
      <c r="E89" s="18"/>
      <c r="F89" s="40"/>
    </row>
    <row r="90" spans="1:6" x14ac:dyDescent="0.25">
      <c r="A90" s="14">
        <v>22</v>
      </c>
      <c r="B90" s="16">
        <v>45706</v>
      </c>
      <c r="C90" s="17" t="s">
        <v>39</v>
      </c>
      <c r="D90" s="40">
        <v>1545000</v>
      </c>
      <c r="E90" s="40"/>
      <c r="F90" s="40"/>
    </row>
    <row r="91" spans="1:6" x14ac:dyDescent="0.25">
      <c r="A91" s="14"/>
      <c r="B91" s="16"/>
      <c r="C91" s="41" t="s">
        <v>4</v>
      </c>
      <c r="D91" s="40"/>
      <c r="E91" s="40"/>
      <c r="F91" s="40"/>
    </row>
    <row r="92" spans="1:6" ht="15.75" x14ac:dyDescent="0.25">
      <c r="A92" s="14">
        <v>23</v>
      </c>
      <c r="B92" s="16"/>
      <c r="C92" s="21" t="s">
        <v>50</v>
      </c>
      <c r="D92" s="18"/>
      <c r="E92" s="18">
        <v>1450000</v>
      </c>
      <c r="F92" s="40"/>
    </row>
    <row r="93" spans="1:6" ht="15.75" x14ac:dyDescent="0.25">
      <c r="A93" s="14">
        <v>24</v>
      </c>
      <c r="B93" s="16"/>
      <c r="C93" s="21" t="s">
        <v>51</v>
      </c>
      <c r="D93" s="18"/>
      <c r="E93" s="18">
        <v>1450000</v>
      </c>
      <c r="F93" s="40"/>
    </row>
    <row r="94" spans="1:6" ht="15.75" x14ac:dyDescent="0.25">
      <c r="A94" s="14">
        <v>25</v>
      </c>
      <c r="B94" s="16"/>
      <c r="C94" s="21" t="s">
        <v>52</v>
      </c>
      <c r="D94" s="18"/>
      <c r="E94" s="18">
        <v>1350000</v>
      </c>
      <c r="F94" s="40"/>
    </row>
    <row r="95" spans="1:6" ht="15.75" x14ac:dyDescent="0.25">
      <c r="A95" s="14">
        <v>26</v>
      </c>
      <c r="B95" s="16"/>
      <c r="C95" s="21" t="s">
        <v>53</v>
      </c>
      <c r="D95" s="18"/>
      <c r="E95" s="18">
        <v>1350000</v>
      </c>
      <c r="F95" s="40"/>
    </row>
    <row r="96" spans="1:6" ht="15.75" x14ac:dyDescent="0.25">
      <c r="A96" s="14">
        <v>27</v>
      </c>
      <c r="B96" s="16"/>
      <c r="C96" s="21" t="s">
        <v>54</v>
      </c>
      <c r="D96" s="40"/>
      <c r="E96" s="40">
        <v>75000</v>
      </c>
      <c r="F96" s="40"/>
    </row>
    <row r="97" spans="1:6" ht="15.75" x14ac:dyDescent="0.25">
      <c r="A97" s="14">
        <v>28</v>
      </c>
      <c r="B97" s="16"/>
      <c r="C97" s="21" t="s">
        <v>55</v>
      </c>
      <c r="D97" s="40"/>
      <c r="E97" s="40">
        <v>800000</v>
      </c>
      <c r="F97" s="40"/>
    </row>
    <row r="98" spans="1:6" ht="15.75" x14ac:dyDescent="0.25">
      <c r="A98" s="14">
        <v>29</v>
      </c>
      <c r="B98" s="16"/>
      <c r="C98" s="21" t="s">
        <v>56</v>
      </c>
      <c r="D98" s="40"/>
      <c r="E98" s="40">
        <v>1350000</v>
      </c>
      <c r="F98" s="40"/>
    </row>
    <row r="99" spans="1:6" x14ac:dyDescent="0.25">
      <c r="A99" s="14">
        <v>30</v>
      </c>
      <c r="B99" s="16"/>
      <c r="C99" s="17" t="s">
        <v>79</v>
      </c>
      <c r="D99" s="40"/>
      <c r="E99" s="40">
        <v>35000</v>
      </c>
      <c r="F99" s="40"/>
    </row>
    <row r="100" spans="1:6" x14ac:dyDescent="0.25">
      <c r="A100" s="14">
        <v>31</v>
      </c>
      <c r="B100" s="16"/>
      <c r="C100" s="17" t="s">
        <v>80</v>
      </c>
      <c r="D100" s="40"/>
      <c r="E100" s="40">
        <v>32000</v>
      </c>
      <c r="F100" s="40"/>
    </row>
    <row r="101" spans="1:6" x14ac:dyDescent="0.25">
      <c r="A101" s="14">
        <v>32</v>
      </c>
      <c r="B101" s="16"/>
      <c r="C101" s="17" t="s">
        <v>81</v>
      </c>
      <c r="D101" s="40"/>
      <c r="E101" s="40">
        <v>234000</v>
      </c>
      <c r="F101" s="40"/>
    </row>
    <row r="102" spans="1:6" x14ac:dyDescent="0.25">
      <c r="A102" s="14">
        <v>33</v>
      </c>
      <c r="B102" s="16"/>
      <c r="C102" s="17" t="s">
        <v>82</v>
      </c>
      <c r="D102" s="40"/>
      <c r="E102" s="40">
        <v>43000</v>
      </c>
      <c r="F102" s="40"/>
    </row>
    <row r="103" spans="1:6" x14ac:dyDescent="0.25">
      <c r="A103" s="14">
        <v>34</v>
      </c>
      <c r="B103" s="16"/>
      <c r="C103" s="17" t="s">
        <v>83</v>
      </c>
      <c r="D103" s="40"/>
      <c r="E103" s="40">
        <v>120000</v>
      </c>
      <c r="F103" s="40"/>
    </row>
    <row r="104" spans="1:6" x14ac:dyDescent="0.25">
      <c r="A104" s="14">
        <v>35</v>
      </c>
      <c r="B104" s="16"/>
      <c r="C104" s="17" t="s">
        <v>65</v>
      </c>
      <c r="D104" s="40"/>
      <c r="E104" s="40">
        <v>33000</v>
      </c>
      <c r="F104" s="40"/>
    </row>
    <row r="105" spans="1:6" x14ac:dyDescent="0.25">
      <c r="A105" s="14">
        <v>36</v>
      </c>
      <c r="B105" s="16"/>
      <c r="C105" s="17" t="s">
        <v>84</v>
      </c>
      <c r="D105" s="40"/>
      <c r="E105" s="40">
        <v>17000</v>
      </c>
      <c r="F105" s="40"/>
    </row>
    <row r="106" spans="1:6" x14ac:dyDescent="0.25">
      <c r="A106" s="14">
        <v>37</v>
      </c>
      <c r="B106" s="16"/>
      <c r="C106" s="17" t="s">
        <v>68</v>
      </c>
      <c r="D106" s="40"/>
      <c r="E106" s="40">
        <v>12000</v>
      </c>
      <c r="F106" s="40"/>
    </row>
    <row r="107" spans="1:6" x14ac:dyDescent="0.25">
      <c r="A107" s="14">
        <v>38</v>
      </c>
      <c r="B107" s="16"/>
      <c r="C107" s="17" t="s">
        <v>62</v>
      </c>
      <c r="D107" s="40"/>
      <c r="E107" s="40">
        <v>9000</v>
      </c>
      <c r="F107" s="40"/>
    </row>
    <row r="108" spans="1:6" x14ac:dyDescent="0.25">
      <c r="A108" s="14">
        <v>39</v>
      </c>
      <c r="B108" s="16"/>
      <c r="C108" s="17" t="s">
        <v>85</v>
      </c>
      <c r="D108" s="40"/>
      <c r="E108" s="40">
        <v>22000</v>
      </c>
      <c r="F108" s="40"/>
    </row>
    <row r="109" spans="1:6" x14ac:dyDescent="0.25">
      <c r="A109" s="14">
        <v>40</v>
      </c>
      <c r="B109" s="16"/>
      <c r="C109" s="17" t="s">
        <v>61</v>
      </c>
      <c r="D109" s="40"/>
      <c r="E109" s="40">
        <v>75000</v>
      </c>
      <c r="F109" s="40"/>
    </row>
    <row r="110" spans="1:6" x14ac:dyDescent="0.25">
      <c r="A110" s="14">
        <v>41</v>
      </c>
      <c r="B110" s="16"/>
      <c r="C110" s="17" t="s">
        <v>80</v>
      </c>
      <c r="D110" s="40"/>
      <c r="E110" s="40">
        <v>32000</v>
      </c>
      <c r="F110" s="40"/>
    </row>
    <row r="111" spans="1:6" x14ac:dyDescent="0.25">
      <c r="A111" s="14">
        <v>42</v>
      </c>
      <c r="B111" s="16"/>
      <c r="C111" s="17" t="s">
        <v>86</v>
      </c>
      <c r="D111" s="40"/>
      <c r="E111" s="40">
        <v>125000</v>
      </c>
      <c r="F111" s="40"/>
    </row>
    <row r="112" spans="1:6" x14ac:dyDescent="0.25">
      <c r="A112" s="14"/>
      <c r="B112" s="16"/>
      <c r="C112" s="17"/>
      <c r="D112" s="40"/>
      <c r="E112" s="40"/>
      <c r="F112" s="40"/>
    </row>
    <row r="113" spans="1:6" x14ac:dyDescent="0.25">
      <c r="A113" s="42"/>
      <c r="B113" s="43"/>
      <c r="C113" s="35" t="s">
        <v>71</v>
      </c>
      <c r="D113" s="36">
        <f>SUM(D69:D112)</f>
        <v>25080000</v>
      </c>
      <c r="E113" s="36">
        <f>SUM(E70:E112)</f>
        <v>8614000</v>
      </c>
      <c r="F113" s="36">
        <f>D113-E113</f>
        <v>16466000</v>
      </c>
    </row>
    <row r="114" spans="1:6" x14ac:dyDescent="0.25">
      <c r="A114" s="112"/>
      <c r="D114" s="38"/>
      <c r="E114" s="38"/>
      <c r="F114" s="38"/>
    </row>
    <row r="115" spans="1:6" x14ac:dyDescent="0.25">
      <c r="A115" s="112"/>
      <c r="D115" s="137" t="s">
        <v>87</v>
      </c>
      <c r="E115" s="137"/>
      <c r="F115" s="137"/>
    </row>
    <row r="116" spans="1:6" x14ac:dyDescent="0.25">
      <c r="A116" s="133" t="s">
        <v>73</v>
      </c>
      <c r="B116" s="133"/>
      <c r="C116" s="133"/>
      <c r="D116" s="137" t="s">
        <v>74</v>
      </c>
      <c r="E116" s="137"/>
      <c r="F116" s="137"/>
    </row>
    <row r="117" spans="1:6" x14ac:dyDescent="0.25">
      <c r="A117" s="112"/>
      <c r="D117" s="38"/>
      <c r="E117" s="38"/>
      <c r="F117" s="38"/>
    </row>
    <row r="118" spans="1:6" x14ac:dyDescent="0.25">
      <c r="A118" s="112"/>
      <c r="D118" s="38"/>
      <c r="E118" s="38"/>
      <c r="F118" s="38"/>
    </row>
    <row r="119" spans="1:6" x14ac:dyDescent="0.25">
      <c r="A119" s="133" t="s">
        <v>75</v>
      </c>
      <c r="B119" s="133"/>
      <c r="C119" s="133"/>
      <c r="D119" s="137" t="s">
        <v>76</v>
      </c>
      <c r="E119" s="137"/>
      <c r="F119" s="137"/>
    </row>
    <row r="120" spans="1:6" x14ac:dyDescent="0.25">
      <c r="A120" s="112"/>
      <c r="D120" s="38"/>
      <c r="E120" s="38"/>
      <c r="F120" s="38"/>
    </row>
    <row r="122" spans="1:6" ht="15.75" x14ac:dyDescent="0.25">
      <c r="A122" s="138" t="s">
        <v>19</v>
      </c>
      <c r="B122" s="139"/>
      <c r="C122" s="139"/>
      <c r="D122" s="139"/>
      <c r="E122" s="139"/>
      <c r="F122" s="140"/>
    </row>
    <row r="123" spans="1:6" ht="15.75" x14ac:dyDescent="0.25">
      <c r="A123" s="141" t="s">
        <v>88</v>
      </c>
      <c r="B123" s="142"/>
      <c r="C123" s="142"/>
      <c r="D123" s="142"/>
      <c r="E123" s="142"/>
      <c r="F123" s="143"/>
    </row>
    <row r="124" spans="1:6" x14ac:dyDescent="0.25">
      <c r="A124" s="14" t="s">
        <v>1</v>
      </c>
      <c r="B124" s="14" t="s">
        <v>21</v>
      </c>
      <c r="C124" s="14" t="s">
        <v>22</v>
      </c>
      <c r="D124" s="15" t="s">
        <v>23</v>
      </c>
      <c r="E124" s="15" t="s">
        <v>24</v>
      </c>
      <c r="F124" s="15" t="s">
        <v>5</v>
      </c>
    </row>
    <row r="125" spans="1:6" x14ac:dyDescent="0.25">
      <c r="A125" s="14">
        <v>1</v>
      </c>
      <c r="B125" s="16">
        <v>45715</v>
      </c>
      <c r="C125" s="17" t="s">
        <v>26</v>
      </c>
      <c r="D125" s="40">
        <v>900000</v>
      </c>
      <c r="E125" s="18"/>
      <c r="F125" s="40"/>
    </row>
    <row r="126" spans="1:6" x14ac:dyDescent="0.25">
      <c r="A126" s="14">
        <v>2</v>
      </c>
      <c r="B126" s="16">
        <v>45717</v>
      </c>
      <c r="C126" s="17" t="s">
        <v>31</v>
      </c>
      <c r="D126" s="40">
        <v>1275000</v>
      </c>
      <c r="E126" s="40"/>
      <c r="F126" s="40"/>
    </row>
    <row r="127" spans="1:6" x14ac:dyDescent="0.25">
      <c r="A127" s="14">
        <v>3</v>
      </c>
      <c r="B127" s="16">
        <v>45717</v>
      </c>
      <c r="C127" s="17" t="s">
        <v>27</v>
      </c>
      <c r="D127" s="40">
        <v>1440000</v>
      </c>
      <c r="E127" s="18"/>
      <c r="F127" s="40"/>
    </row>
    <row r="128" spans="1:6" x14ac:dyDescent="0.25">
      <c r="A128" s="14">
        <v>4</v>
      </c>
      <c r="B128" s="16">
        <v>45718</v>
      </c>
      <c r="C128" s="17" t="s">
        <v>34</v>
      </c>
      <c r="D128" s="40">
        <v>1375000</v>
      </c>
      <c r="E128" s="40"/>
      <c r="F128" s="40"/>
    </row>
    <row r="129" spans="1:6" x14ac:dyDescent="0.25">
      <c r="A129" s="14">
        <v>5</v>
      </c>
      <c r="B129" s="16">
        <v>45719</v>
      </c>
      <c r="C129" s="17" t="s">
        <v>32</v>
      </c>
      <c r="D129" s="40">
        <v>1125000</v>
      </c>
      <c r="E129" s="40"/>
      <c r="F129" s="40"/>
    </row>
    <row r="130" spans="1:6" x14ac:dyDescent="0.25">
      <c r="A130" s="14">
        <v>6</v>
      </c>
      <c r="B130" s="16">
        <v>45719</v>
      </c>
      <c r="C130" s="17" t="s">
        <v>30</v>
      </c>
      <c r="D130" s="40">
        <v>750000</v>
      </c>
      <c r="E130" s="18"/>
      <c r="F130" s="40"/>
    </row>
    <row r="131" spans="1:6" x14ac:dyDescent="0.25">
      <c r="A131" s="14">
        <v>7</v>
      </c>
      <c r="B131" s="16">
        <v>45719</v>
      </c>
      <c r="C131" s="17" t="s">
        <v>28</v>
      </c>
      <c r="D131" s="40">
        <v>1235000</v>
      </c>
      <c r="E131" s="40"/>
      <c r="F131" s="40"/>
    </row>
    <row r="132" spans="1:6" x14ac:dyDescent="0.25">
      <c r="A132" s="14">
        <v>8</v>
      </c>
      <c r="B132" s="16">
        <v>45720</v>
      </c>
      <c r="C132" s="17" t="s">
        <v>29</v>
      </c>
      <c r="D132" s="40">
        <v>750000</v>
      </c>
      <c r="E132" s="40"/>
      <c r="F132" s="40"/>
    </row>
    <row r="133" spans="1:6" x14ac:dyDescent="0.25">
      <c r="A133" s="14">
        <v>9</v>
      </c>
      <c r="B133" s="16">
        <v>45720</v>
      </c>
      <c r="C133" s="17" t="s">
        <v>36</v>
      </c>
      <c r="D133" s="40">
        <v>750000</v>
      </c>
      <c r="E133" s="40"/>
      <c r="F133" s="40"/>
    </row>
    <row r="134" spans="1:6" x14ac:dyDescent="0.25">
      <c r="A134" s="14">
        <v>10</v>
      </c>
      <c r="B134" s="16">
        <v>45721</v>
      </c>
      <c r="C134" s="17" t="s">
        <v>89</v>
      </c>
      <c r="D134" s="40">
        <v>1705000</v>
      </c>
      <c r="E134" s="18"/>
      <c r="F134" s="40"/>
    </row>
    <row r="135" spans="1:6" x14ac:dyDescent="0.25">
      <c r="A135" s="14">
        <v>11</v>
      </c>
      <c r="B135" s="16">
        <v>45721</v>
      </c>
      <c r="C135" s="17" t="s">
        <v>33</v>
      </c>
      <c r="D135" s="40">
        <v>1125000</v>
      </c>
      <c r="E135" s="40"/>
      <c r="F135" s="40"/>
    </row>
    <row r="136" spans="1:6" x14ac:dyDescent="0.25">
      <c r="A136" s="14">
        <v>12</v>
      </c>
      <c r="B136" s="16">
        <v>45721</v>
      </c>
      <c r="C136" s="17" t="s">
        <v>37</v>
      </c>
      <c r="D136" s="40">
        <v>750000</v>
      </c>
      <c r="E136" s="18"/>
      <c r="F136" s="40"/>
    </row>
    <row r="137" spans="1:6" x14ac:dyDescent="0.25">
      <c r="A137" s="14">
        <v>13</v>
      </c>
      <c r="B137" s="16">
        <v>45722</v>
      </c>
      <c r="C137" s="17" t="s">
        <v>90</v>
      </c>
      <c r="D137" s="40">
        <v>1555000</v>
      </c>
      <c r="E137" s="40"/>
      <c r="F137" s="40"/>
    </row>
    <row r="138" spans="1:6" x14ac:dyDescent="0.25">
      <c r="A138" s="14">
        <v>14</v>
      </c>
      <c r="B138" s="16">
        <v>45722</v>
      </c>
      <c r="C138" s="17" t="s">
        <v>48</v>
      </c>
      <c r="D138" s="40">
        <v>750000</v>
      </c>
      <c r="E138" s="40"/>
      <c r="F138" s="40"/>
    </row>
    <row r="139" spans="1:6" x14ac:dyDescent="0.25">
      <c r="A139" s="14">
        <v>15</v>
      </c>
      <c r="B139" s="16">
        <v>45722</v>
      </c>
      <c r="C139" s="17" t="s">
        <v>43</v>
      </c>
      <c r="D139" s="40">
        <v>950000</v>
      </c>
      <c r="E139" s="40"/>
      <c r="F139" s="40"/>
    </row>
    <row r="140" spans="1:6" x14ac:dyDescent="0.25">
      <c r="A140" s="14">
        <v>16</v>
      </c>
      <c r="B140" s="16">
        <v>45723</v>
      </c>
      <c r="C140" s="17" t="s">
        <v>42</v>
      </c>
      <c r="D140" s="40">
        <v>2250000</v>
      </c>
      <c r="E140" s="18"/>
      <c r="F140" s="40"/>
    </row>
    <row r="141" spans="1:6" x14ac:dyDescent="0.25">
      <c r="A141" s="14">
        <v>17</v>
      </c>
      <c r="B141" s="16">
        <v>45723</v>
      </c>
      <c r="C141" s="17" t="s">
        <v>35</v>
      </c>
      <c r="D141" s="40">
        <v>880000</v>
      </c>
      <c r="E141" s="18"/>
      <c r="F141" s="40"/>
    </row>
    <row r="142" spans="1:6" x14ac:dyDescent="0.25">
      <c r="A142" s="14">
        <v>18</v>
      </c>
      <c r="B142" s="16">
        <v>45723</v>
      </c>
      <c r="C142" s="17" t="s">
        <v>40</v>
      </c>
      <c r="D142" s="40">
        <v>1375000</v>
      </c>
      <c r="E142" s="18"/>
      <c r="F142" s="40"/>
    </row>
    <row r="143" spans="1:6" x14ac:dyDescent="0.25">
      <c r="A143" s="14">
        <v>19</v>
      </c>
      <c r="B143" s="16">
        <v>45725</v>
      </c>
      <c r="C143" s="17" t="s">
        <v>45</v>
      </c>
      <c r="D143" s="40">
        <v>1205000</v>
      </c>
      <c r="E143" s="40"/>
      <c r="F143" s="40"/>
    </row>
    <row r="144" spans="1:6" x14ac:dyDescent="0.25">
      <c r="A144" s="14">
        <v>20</v>
      </c>
      <c r="B144" s="16">
        <v>45726</v>
      </c>
      <c r="C144" s="17" t="s">
        <v>78</v>
      </c>
      <c r="D144" s="40">
        <v>1375000</v>
      </c>
      <c r="E144" s="18"/>
      <c r="F144" s="40"/>
    </row>
    <row r="145" spans="1:6" x14ac:dyDescent="0.25">
      <c r="A145" s="14">
        <v>21</v>
      </c>
      <c r="B145" s="16">
        <v>45727</v>
      </c>
      <c r="C145" s="17" t="s">
        <v>44</v>
      </c>
      <c r="D145" s="40">
        <v>1305000</v>
      </c>
      <c r="E145" s="18"/>
      <c r="F145" s="40"/>
    </row>
    <row r="146" spans="1:6" x14ac:dyDescent="0.25">
      <c r="A146" s="14">
        <v>22</v>
      </c>
      <c r="B146" s="16">
        <v>45728</v>
      </c>
      <c r="C146" s="17" t="s">
        <v>38</v>
      </c>
      <c r="D146" s="40">
        <v>1030000</v>
      </c>
      <c r="E146" s="40"/>
      <c r="F146" s="40"/>
    </row>
    <row r="147" spans="1:6" x14ac:dyDescent="0.25">
      <c r="A147" s="14">
        <v>23</v>
      </c>
      <c r="B147" s="16">
        <v>45728</v>
      </c>
      <c r="C147" s="17" t="s">
        <v>25</v>
      </c>
      <c r="D147" s="40">
        <v>750000</v>
      </c>
      <c r="E147" s="40"/>
      <c r="F147" s="40"/>
    </row>
    <row r="148" spans="1:6" x14ac:dyDescent="0.25">
      <c r="A148" s="14">
        <v>24</v>
      </c>
      <c r="B148" s="16">
        <v>45742</v>
      </c>
      <c r="C148" s="17" t="s">
        <v>41</v>
      </c>
      <c r="D148" s="40">
        <v>2375000</v>
      </c>
      <c r="E148" s="40"/>
      <c r="F148" s="40"/>
    </row>
    <row r="149" spans="1:6" x14ac:dyDescent="0.25">
      <c r="A149" s="14"/>
      <c r="B149" s="16"/>
      <c r="C149" s="41" t="s">
        <v>4</v>
      </c>
      <c r="D149" s="40"/>
      <c r="E149" s="40"/>
      <c r="F149" s="40"/>
    </row>
    <row r="150" spans="1:6" ht="15.75" x14ac:dyDescent="0.25">
      <c r="A150" s="14">
        <v>25</v>
      </c>
      <c r="B150" s="16"/>
      <c r="C150" s="21" t="s">
        <v>50</v>
      </c>
      <c r="D150" s="18"/>
      <c r="E150" s="18">
        <v>1450000</v>
      </c>
      <c r="F150" s="40"/>
    </row>
    <row r="151" spans="1:6" ht="15.75" x14ac:dyDescent="0.25">
      <c r="A151" s="14">
        <v>26</v>
      </c>
      <c r="B151" s="16"/>
      <c r="C151" s="21" t="s">
        <v>51</v>
      </c>
      <c r="D151" s="18"/>
      <c r="E151" s="18">
        <v>1450000</v>
      </c>
      <c r="F151" s="40"/>
    </row>
    <row r="152" spans="1:6" ht="15.75" x14ac:dyDescent="0.25">
      <c r="A152" s="14">
        <v>27</v>
      </c>
      <c r="B152" s="16"/>
      <c r="C152" s="21" t="s">
        <v>52</v>
      </c>
      <c r="D152" s="18"/>
      <c r="E152" s="18">
        <v>1350000</v>
      </c>
      <c r="F152" s="40"/>
    </row>
    <row r="153" spans="1:6" ht="15.75" x14ac:dyDescent="0.25">
      <c r="A153" s="14">
        <v>28</v>
      </c>
      <c r="B153" s="16"/>
      <c r="C153" s="21" t="s">
        <v>53</v>
      </c>
      <c r="D153" s="18"/>
      <c r="E153" s="18">
        <v>1350000</v>
      </c>
      <c r="F153" s="40"/>
    </row>
    <row r="154" spans="1:6" ht="15.75" x14ac:dyDescent="0.25">
      <c r="A154" s="14">
        <v>29</v>
      </c>
      <c r="B154" s="16"/>
      <c r="C154" s="21" t="s">
        <v>54</v>
      </c>
      <c r="D154" s="40"/>
      <c r="E154" s="40">
        <v>100000</v>
      </c>
      <c r="F154" s="40"/>
    </row>
    <row r="155" spans="1:6" ht="15.75" x14ac:dyDescent="0.25">
      <c r="A155" s="14">
        <v>30</v>
      </c>
      <c r="B155" s="16"/>
      <c r="C155" s="21" t="s">
        <v>55</v>
      </c>
      <c r="D155" s="40"/>
      <c r="E155" s="40"/>
      <c r="F155" s="40"/>
    </row>
    <row r="156" spans="1:6" ht="15.75" x14ac:dyDescent="0.25">
      <c r="A156" s="14">
        <v>31</v>
      </c>
      <c r="B156" s="16"/>
      <c r="C156" s="21" t="s">
        <v>56</v>
      </c>
      <c r="D156" s="40"/>
      <c r="E156" s="40">
        <v>1520000</v>
      </c>
      <c r="F156" s="40"/>
    </row>
    <row r="157" spans="1:6" x14ac:dyDescent="0.25">
      <c r="A157" s="14">
        <v>32</v>
      </c>
      <c r="B157" s="16"/>
      <c r="C157" s="17" t="s">
        <v>91</v>
      </c>
      <c r="D157" s="40"/>
      <c r="E157" s="40">
        <v>5600000</v>
      </c>
      <c r="F157" s="40"/>
    </row>
    <row r="158" spans="1:6" x14ac:dyDescent="0.25">
      <c r="A158" s="14">
        <v>33</v>
      </c>
      <c r="B158" s="16"/>
      <c r="C158" s="17" t="s">
        <v>80</v>
      </c>
      <c r="D158" s="40"/>
      <c r="E158" s="40">
        <v>32000</v>
      </c>
      <c r="F158" s="40"/>
    </row>
    <row r="159" spans="1:6" x14ac:dyDescent="0.25">
      <c r="A159" s="14">
        <v>34</v>
      </c>
      <c r="B159" s="16"/>
      <c r="C159" s="17" t="s">
        <v>92</v>
      </c>
      <c r="D159" s="40"/>
      <c r="E159" s="40">
        <v>23500</v>
      </c>
      <c r="F159" s="40"/>
    </row>
    <row r="160" spans="1:6" x14ac:dyDescent="0.25">
      <c r="A160" s="14">
        <v>35</v>
      </c>
      <c r="B160" s="16"/>
      <c r="C160" s="17" t="s">
        <v>93</v>
      </c>
      <c r="D160" s="40"/>
      <c r="E160" s="40">
        <v>6000</v>
      </c>
      <c r="F160" s="40"/>
    </row>
    <row r="161" spans="1:6" x14ac:dyDescent="0.25">
      <c r="A161" s="14">
        <v>36</v>
      </c>
      <c r="B161" s="16"/>
      <c r="C161" s="17" t="s">
        <v>94</v>
      </c>
      <c r="D161" s="40"/>
      <c r="E161" s="40">
        <v>75000</v>
      </c>
      <c r="F161" s="40"/>
    </row>
    <row r="162" spans="1:6" x14ac:dyDescent="0.25">
      <c r="A162" s="14">
        <v>37</v>
      </c>
      <c r="B162" s="16"/>
      <c r="C162" s="17" t="s">
        <v>95</v>
      </c>
      <c r="D162" s="40"/>
      <c r="E162" s="40">
        <v>50000</v>
      </c>
      <c r="F162" s="40"/>
    </row>
    <row r="163" spans="1:6" x14ac:dyDescent="0.25">
      <c r="A163" s="14">
        <v>38</v>
      </c>
      <c r="B163" s="16"/>
      <c r="C163" s="17" t="s">
        <v>96</v>
      </c>
      <c r="D163" s="18"/>
      <c r="E163" s="18">
        <v>75000000</v>
      </c>
      <c r="F163" s="40"/>
    </row>
    <row r="164" spans="1:6" x14ac:dyDescent="0.25">
      <c r="A164" s="14"/>
      <c r="B164" s="44"/>
      <c r="C164" s="17"/>
      <c r="D164" s="40"/>
      <c r="E164" s="40"/>
      <c r="F164" s="40"/>
    </row>
    <row r="165" spans="1:6" x14ac:dyDescent="0.25">
      <c r="A165" s="42"/>
      <c r="B165" s="43"/>
      <c r="C165" s="35" t="s">
        <v>71</v>
      </c>
      <c r="D165" s="36">
        <f>SUM(D125:D164)</f>
        <v>28980000</v>
      </c>
      <c r="E165" s="36">
        <f>SUM(E125:E164)</f>
        <v>88006500</v>
      </c>
      <c r="F165" s="36">
        <f>D165-E165</f>
        <v>-59026500</v>
      </c>
    </row>
    <row r="166" spans="1:6" x14ac:dyDescent="0.25">
      <c r="A166" s="112"/>
      <c r="D166" s="38"/>
      <c r="E166" s="38"/>
      <c r="F166" s="38"/>
    </row>
    <row r="167" spans="1:6" x14ac:dyDescent="0.25">
      <c r="A167" s="112"/>
      <c r="D167" s="137" t="s">
        <v>97</v>
      </c>
      <c r="E167" s="137"/>
      <c r="F167" s="137"/>
    </row>
    <row r="168" spans="1:6" x14ac:dyDescent="0.25">
      <c r="A168" s="133" t="s">
        <v>73</v>
      </c>
      <c r="B168" s="133"/>
      <c r="C168" s="133"/>
      <c r="D168" s="137" t="s">
        <v>74</v>
      </c>
      <c r="E168" s="137"/>
      <c r="F168" s="137"/>
    </row>
    <row r="169" spans="1:6" x14ac:dyDescent="0.25">
      <c r="A169" s="112"/>
      <c r="D169" s="38"/>
      <c r="E169" s="38"/>
      <c r="F169" s="38"/>
    </row>
    <row r="170" spans="1:6" x14ac:dyDescent="0.25">
      <c r="A170" s="112"/>
      <c r="D170" s="38"/>
      <c r="E170" s="38"/>
      <c r="F170" s="38"/>
    </row>
    <row r="171" spans="1:6" x14ac:dyDescent="0.25">
      <c r="A171" s="133" t="s">
        <v>75</v>
      </c>
      <c r="B171" s="133"/>
      <c r="C171" s="133"/>
      <c r="D171" s="137" t="s">
        <v>76</v>
      </c>
      <c r="E171" s="137"/>
      <c r="F171" s="137"/>
    </row>
    <row r="172" spans="1:6" x14ac:dyDescent="0.25">
      <c r="A172" s="112"/>
      <c r="B172" s="112"/>
      <c r="C172" s="112"/>
      <c r="D172" s="113"/>
      <c r="E172" s="113"/>
      <c r="F172" s="113"/>
    </row>
    <row r="173" spans="1:6" x14ac:dyDescent="0.25">
      <c r="A173" s="112"/>
      <c r="B173" s="112"/>
      <c r="C173" s="112"/>
      <c r="D173" s="113"/>
      <c r="E173" s="113"/>
      <c r="F173" s="113"/>
    </row>
    <row r="174" spans="1:6" ht="15.75" x14ac:dyDescent="0.25">
      <c r="A174" s="138" t="s">
        <v>19</v>
      </c>
      <c r="B174" s="139"/>
      <c r="C174" s="139"/>
      <c r="D174" s="139"/>
      <c r="E174" s="139"/>
      <c r="F174" s="140"/>
    </row>
    <row r="175" spans="1:6" ht="15.75" x14ac:dyDescent="0.25">
      <c r="A175" s="141" t="s">
        <v>98</v>
      </c>
      <c r="B175" s="142"/>
      <c r="C175" s="142"/>
      <c r="D175" s="142"/>
      <c r="E175" s="142"/>
      <c r="F175" s="143"/>
    </row>
    <row r="176" spans="1:6" x14ac:dyDescent="0.25">
      <c r="A176" s="14" t="s">
        <v>1</v>
      </c>
      <c r="B176" s="14" t="s">
        <v>21</v>
      </c>
      <c r="C176" s="14" t="s">
        <v>22</v>
      </c>
      <c r="D176" s="15" t="s">
        <v>23</v>
      </c>
      <c r="E176" s="15" t="s">
        <v>24</v>
      </c>
      <c r="F176" s="15" t="s">
        <v>5</v>
      </c>
    </row>
    <row r="177" spans="1:6" x14ac:dyDescent="0.25">
      <c r="A177" s="14">
        <v>1</v>
      </c>
      <c r="B177" s="16">
        <v>45745</v>
      </c>
      <c r="C177" s="17" t="s">
        <v>26</v>
      </c>
      <c r="D177" s="40">
        <v>900000</v>
      </c>
      <c r="E177" s="18"/>
      <c r="F177" s="18"/>
    </row>
    <row r="178" spans="1:6" x14ac:dyDescent="0.25">
      <c r="A178" s="14">
        <v>2</v>
      </c>
      <c r="B178" s="16">
        <v>45749</v>
      </c>
      <c r="C178" s="17" t="s">
        <v>27</v>
      </c>
      <c r="D178" s="40">
        <v>1440000</v>
      </c>
      <c r="E178" s="18"/>
      <c r="F178" s="18"/>
    </row>
    <row r="179" spans="1:6" x14ac:dyDescent="0.25">
      <c r="A179" s="14">
        <v>3</v>
      </c>
      <c r="B179" s="16">
        <v>45750</v>
      </c>
      <c r="C179" s="17" t="s">
        <v>32</v>
      </c>
      <c r="D179" s="40">
        <v>1125000</v>
      </c>
      <c r="E179" s="18"/>
      <c r="F179" s="18"/>
    </row>
    <row r="180" spans="1:6" x14ac:dyDescent="0.25">
      <c r="A180" s="14">
        <v>4</v>
      </c>
      <c r="B180" s="16">
        <v>45752</v>
      </c>
      <c r="C180" s="17" t="s">
        <v>29</v>
      </c>
      <c r="D180" s="40">
        <v>750000</v>
      </c>
      <c r="E180" s="18"/>
      <c r="F180" s="18"/>
    </row>
    <row r="181" spans="1:6" x14ac:dyDescent="0.25">
      <c r="A181" s="14">
        <v>5</v>
      </c>
      <c r="B181" s="16">
        <v>45755</v>
      </c>
      <c r="C181" s="17" t="s">
        <v>99</v>
      </c>
      <c r="D181" s="40">
        <v>350000</v>
      </c>
      <c r="E181" s="18"/>
      <c r="F181" s="18"/>
    </row>
    <row r="182" spans="1:6" x14ac:dyDescent="0.25">
      <c r="A182" s="14">
        <v>6</v>
      </c>
      <c r="B182" s="16">
        <v>45756</v>
      </c>
      <c r="C182" s="17" t="s">
        <v>28</v>
      </c>
      <c r="D182" s="40">
        <v>1235000</v>
      </c>
      <c r="E182" s="18"/>
      <c r="F182" s="18"/>
    </row>
    <row r="183" spans="1:6" x14ac:dyDescent="0.25">
      <c r="A183" s="14">
        <v>7</v>
      </c>
      <c r="B183" s="16">
        <v>45756</v>
      </c>
      <c r="C183" s="17" t="s">
        <v>36</v>
      </c>
      <c r="D183" s="40">
        <v>750000</v>
      </c>
      <c r="E183" s="18"/>
      <c r="F183" s="18"/>
    </row>
    <row r="184" spans="1:6" x14ac:dyDescent="0.25">
      <c r="A184" s="14">
        <v>8</v>
      </c>
      <c r="B184" s="16">
        <v>45756</v>
      </c>
      <c r="C184" s="17" t="s">
        <v>43</v>
      </c>
      <c r="D184" s="40">
        <v>900000</v>
      </c>
      <c r="E184" s="18"/>
      <c r="F184" s="18"/>
    </row>
    <row r="185" spans="1:6" x14ac:dyDescent="0.25">
      <c r="A185" s="14">
        <v>9</v>
      </c>
      <c r="B185" s="16">
        <v>45756</v>
      </c>
      <c r="C185" s="17" t="s">
        <v>31</v>
      </c>
      <c r="D185" s="40">
        <v>1275000</v>
      </c>
      <c r="E185" s="18"/>
      <c r="F185" s="18"/>
    </row>
    <row r="186" spans="1:6" x14ac:dyDescent="0.25">
      <c r="A186" s="14">
        <v>10</v>
      </c>
      <c r="B186" s="16">
        <v>45756</v>
      </c>
      <c r="C186" s="17" t="s">
        <v>30</v>
      </c>
      <c r="D186" s="40">
        <v>830000</v>
      </c>
      <c r="E186" s="18"/>
      <c r="F186" s="18"/>
    </row>
    <row r="187" spans="1:6" x14ac:dyDescent="0.25">
      <c r="A187" s="14">
        <v>11</v>
      </c>
      <c r="B187" s="16">
        <v>45756</v>
      </c>
      <c r="C187" s="17" t="s">
        <v>33</v>
      </c>
      <c r="D187" s="40">
        <v>1125000</v>
      </c>
      <c r="E187" s="18"/>
      <c r="F187" s="18"/>
    </row>
    <row r="188" spans="1:6" x14ac:dyDescent="0.25">
      <c r="A188" s="14">
        <v>12</v>
      </c>
      <c r="B188" s="16">
        <v>45756</v>
      </c>
      <c r="C188" s="17" t="s">
        <v>46</v>
      </c>
      <c r="D188" s="40">
        <v>1125000</v>
      </c>
      <c r="E188" s="18"/>
      <c r="F188" s="18"/>
    </row>
    <row r="189" spans="1:6" x14ac:dyDescent="0.25">
      <c r="A189" s="14">
        <v>13</v>
      </c>
      <c r="B189" s="16">
        <v>45757</v>
      </c>
      <c r="C189" s="17" t="s">
        <v>48</v>
      </c>
      <c r="D189" s="40">
        <v>750000</v>
      </c>
      <c r="E189" s="18"/>
      <c r="F189" s="18"/>
    </row>
    <row r="190" spans="1:6" x14ac:dyDescent="0.25">
      <c r="A190" s="14">
        <v>14</v>
      </c>
      <c r="B190" s="16">
        <v>45757</v>
      </c>
      <c r="C190" s="17" t="s">
        <v>34</v>
      </c>
      <c r="D190" s="40">
        <v>1375000</v>
      </c>
      <c r="E190" s="18"/>
      <c r="F190" s="18"/>
    </row>
    <row r="191" spans="1:6" x14ac:dyDescent="0.25">
      <c r="A191" s="14">
        <v>15</v>
      </c>
      <c r="B191" s="16">
        <v>45758</v>
      </c>
      <c r="C191" s="17" t="s">
        <v>45</v>
      </c>
      <c r="D191" s="40">
        <v>1295000</v>
      </c>
      <c r="E191" s="18"/>
      <c r="F191" s="18"/>
    </row>
    <row r="192" spans="1:6" x14ac:dyDescent="0.25">
      <c r="A192" s="14">
        <v>16</v>
      </c>
      <c r="B192" s="16">
        <v>45761</v>
      </c>
      <c r="C192" s="17" t="s">
        <v>37</v>
      </c>
      <c r="D192" s="40">
        <v>750000</v>
      </c>
      <c r="E192" s="18"/>
      <c r="F192" s="18"/>
    </row>
    <row r="193" spans="1:6" x14ac:dyDescent="0.25">
      <c r="A193" s="14">
        <v>17</v>
      </c>
      <c r="B193" s="16">
        <v>45762</v>
      </c>
      <c r="C193" s="17" t="s">
        <v>44</v>
      </c>
      <c r="D193" s="40">
        <v>1305000</v>
      </c>
      <c r="E193" s="18"/>
      <c r="F193" s="18"/>
    </row>
    <row r="194" spans="1:6" x14ac:dyDescent="0.25">
      <c r="A194" s="14">
        <v>18</v>
      </c>
      <c r="B194" s="16">
        <v>45762</v>
      </c>
      <c r="C194" s="17" t="s">
        <v>100</v>
      </c>
      <c r="D194" s="40">
        <v>875000</v>
      </c>
      <c r="E194" s="18"/>
      <c r="F194" s="18"/>
    </row>
    <row r="195" spans="1:6" x14ac:dyDescent="0.25">
      <c r="A195" s="14">
        <v>19</v>
      </c>
      <c r="B195" s="16">
        <v>45762</v>
      </c>
      <c r="C195" s="17" t="s">
        <v>40</v>
      </c>
      <c r="D195" s="40">
        <v>1375000</v>
      </c>
      <c r="E195" s="18"/>
      <c r="F195" s="18"/>
    </row>
    <row r="196" spans="1:6" x14ac:dyDescent="0.25">
      <c r="A196" s="14">
        <v>20</v>
      </c>
      <c r="B196" s="16">
        <v>45763</v>
      </c>
      <c r="C196" s="17" t="s">
        <v>101</v>
      </c>
      <c r="D196" s="40">
        <v>925000</v>
      </c>
      <c r="E196" s="18"/>
      <c r="F196" s="18"/>
    </row>
    <row r="197" spans="1:6" x14ac:dyDescent="0.25">
      <c r="A197" s="14">
        <v>21</v>
      </c>
      <c r="B197" s="16">
        <v>45763</v>
      </c>
      <c r="C197" s="17" t="s">
        <v>25</v>
      </c>
      <c r="D197" s="40">
        <v>1500000</v>
      </c>
      <c r="E197" s="18"/>
      <c r="F197" s="18"/>
    </row>
    <row r="198" spans="1:6" x14ac:dyDescent="0.25">
      <c r="A198" s="14">
        <v>22</v>
      </c>
      <c r="B198" s="16">
        <v>45768</v>
      </c>
      <c r="C198" s="17" t="s">
        <v>35</v>
      </c>
      <c r="D198" s="40">
        <v>840000</v>
      </c>
      <c r="E198" s="18"/>
      <c r="F198" s="18"/>
    </row>
    <row r="199" spans="1:6" x14ac:dyDescent="0.25">
      <c r="A199" s="14">
        <v>23</v>
      </c>
      <c r="B199" s="16">
        <v>45770</v>
      </c>
      <c r="C199" s="17" t="s">
        <v>102</v>
      </c>
      <c r="D199" s="40">
        <v>125000</v>
      </c>
      <c r="E199" s="18"/>
      <c r="F199" s="18"/>
    </row>
    <row r="200" spans="1:6" x14ac:dyDescent="0.25">
      <c r="A200" s="14">
        <v>24</v>
      </c>
      <c r="B200" s="16">
        <v>45771</v>
      </c>
      <c r="C200" s="17" t="s">
        <v>90</v>
      </c>
      <c r="D200" s="40">
        <v>1565000</v>
      </c>
      <c r="E200" s="18"/>
      <c r="F200" s="18"/>
    </row>
    <row r="201" spans="1:6" x14ac:dyDescent="0.25">
      <c r="A201" s="14">
        <v>25</v>
      </c>
      <c r="B201" s="16">
        <v>45771</v>
      </c>
      <c r="C201" s="17" t="s">
        <v>103</v>
      </c>
      <c r="D201" s="40">
        <v>75000</v>
      </c>
      <c r="E201" s="18"/>
      <c r="F201" s="18"/>
    </row>
    <row r="202" spans="1:6" x14ac:dyDescent="0.25">
      <c r="A202" s="14">
        <v>26</v>
      </c>
      <c r="B202" s="16">
        <v>45771</v>
      </c>
      <c r="C202" s="17" t="s">
        <v>89</v>
      </c>
      <c r="D202" s="40">
        <v>1355000</v>
      </c>
      <c r="E202" s="18"/>
      <c r="F202" s="18"/>
    </row>
    <row r="203" spans="1:6" x14ac:dyDescent="0.25">
      <c r="A203" s="14">
        <v>27</v>
      </c>
      <c r="B203" s="16">
        <v>45777</v>
      </c>
      <c r="C203" s="17" t="s">
        <v>38</v>
      </c>
      <c r="D203" s="40">
        <v>1700000</v>
      </c>
      <c r="E203" s="18"/>
      <c r="F203" s="18"/>
    </row>
    <row r="204" spans="1:6" x14ac:dyDescent="0.25">
      <c r="A204" s="14">
        <v>30</v>
      </c>
      <c r="B204" s="16"/>
      <c r="C204" s="41" t="s">
        <v>4</v>
      </c>
      <c r="D204" s="40"/>
      <c r="E204" s="40"/>
      <c r="F204" s="18"/>
    </row>
    <row r="205" spans="1:6" ht="15.75" x14ac:dyDescent="0.25">
      <c r="A205" s="14">
        <v>31</v>
      </c>
      <c r="B205" s="16"/>
      <c r="C205" s="21" t="s">
        <v>50</v>
      </c>
      <c r="D205" s="18"/>
      <c r="E205" s="18">
        <v>1450000</v>
      </c>
      <c r="F205" s="18"/>
    </row>
    <row r="206" spans="1:6" ht="15.75" x14ac:dyDescent="0.25">
      <c r="A206" s="14">
        <v>32</v>
      </c>
      <c r="B206" s="16"/>
      <c r="C206" s="21" t="s">
        <v>51</v>
      </c>
      <c r="D206" s="18"/>
      <c r="E206" s="18">
        <v>1450000</v>
      </c>
      <c r="F206" s="18"/>
    </row>
    <row r="207" spans="1:6" ht="15.75" x14ac:dyDescent="0.25">
      <c r="A207" s="14">
        <v>33</v>
      </c>
      <c r="B207" s="16"/>
      <c r="C207" s="21" t="s">
        <v>52</v>
      </c>
      <c r="D207" s="18"/>
      <c r="E207" s="18">
        <v>1350000</v>
      </c>
      <c r="F207" s="18"/>
    </row>
    <row r="208" spans="1:6" ht="15.75" x14ac:dyDescent="0.25">
      <c r="A208" s="14">
        <v>34</v>
      </c>
      <c r="B208" s="16"/>
      <c r="C208" s="21" t="s">
        <v>53</v>
      </c>
      <c r="D208" s="18"/>
      <c r="E208" s="18">
        <v>1350000</v>
      </c>
      <c r="F208" s="18"/>
    </row>
    <row r="209" spans="1:6" ht="15.75" x14ac:dyDescent="0.25">
      <c r="A209" s="14">
        <v>35</v>
      </c>
      <c r="B209" s="16"/>
      <c r="C209" s="21" t="s">
        <v>54</v>
      </c>
      <c r="D209" s="40"/>
      <c r="E209" s="40">
        <v>100000</v>
      </c>
      <c r="F209" s="18"/>
    </row>
    <row r="210" spans="1:6" ht="15.75" x14ac:dyDescent="0.25">
      <c r="A210" s="14">
        <v>36</v>
      </c>
      <c r="B210" s="16"/>
      <c r="C210" s="21" t="s">
        <v>55</v>
      </c>
      <c r="D210" s="40"/>
      <c r="E210" s="40">
        <v>600000</v>
      </c>
      <c r="F210" s="18"/>
    </row>
    <row r="211" spans="1:6" ht="15.75" x14ac:dyDescent="0.25">
      <c r="A211" s="14">
        <v>37</v>
      </c>
      <c r="B211" s="19"/>
      <c r="C211" s="21" t="s">
        <v>56</v>
      </c>
      <c r="D211" s="40"/>
      <c r="E211" s="40">
        <v>1510000</v>
      </c>
      <c r="F211" s="18"/>
    </row>
    <row r="212" spans="1:6" ht="15.75" x14ac:dyDescent="0.25">
      <c r="A212" s="14">
        <v>38</v>
      </c>
      <c r="B212" s="19"/>
      <c r="C212" s="21" t="s">
        <v>104</v>
      </c>
      <c r="D212" s="18"/>
      <c r="E212" s="40">
        <v>32000</v>
      </c>
      <c r="F212" s="18"/>
    </row>
    <row r="213" spans="1:6" ht="15.75" x14ac:dyDescent="0.25">
      <c r="A213" s="22">
        <v>39</v>
      </c>
      <c r="B213" s="23"/>
      <c r="C213" s="24" t="s">
        <v>105</v>
      </c>
      <c r="D213" s="25"/>
      <c r="E213" s="46">
        <v>100000</v>
      </c>
      <c r="F213" s="25"/>
    </row>
    <row r="214" spans="1:6" ht="15.75" x14ac:dyDescent="0.25">
      <c r="A214" s="47">
        <v>40</v>
      </c>
      <c r="B214" s="48"/>
      <c r="C214" s="24" t="s">
        <v>106</v>
      </c>
      <c r="D214" s="25"/>
      <c r="E214" s="49">
        <v>70000</v>
      </c>
      <c r="F214" s="28"/>
    </row>
    <row r="215" spans="1:6" ht="15.75" x14ac:dyDescent="0.25">
      <c r="A215" s="50"/>
      <c r="B215" s="51"/>
      <c r="C215" s="52" t="s">
        <v>107</v>
      </c>
      <c r="D215" s="32"/>
      <c r="E215" s="33"/>
      <c r="F215" s="33"/>
    </row>
    <row r="216" spans="1:6" ht="15.75" x14ac:dyDescent="0.25">
      <c r="A216" s="29">
        <v>41</v>
      </c>
      <c r="B216" s="53"/>
      <c r="C216" s="52" t="s">
        <v>68</v>
      </c>
      <c r="D216" s="32"/>
      <c r="E216" s="54">
        <v>6000</v>
      </c>
      <c r="F216" s="32"/>
    </row>
    <row r="217" spans="1:6" ht="15.75" x14ac:dyDescent="0.25">
      <c r="A217" s="14">
        <v>42</v>
      </c>
      <c r="B217" s="19"/>
      <c r="C217" s="21" t="s">
        <v>108</v>
      </c>
      <c r="D217" s="18"/>
      <c r="E217" s="40">
        <v>34000</v>
      </c>
      <c r="F217" s="18"/>
    </row>
    <row r="218" spans="1:6" ht="15.75" x14ac:dyDescent="0.25">
      <c r="A218" s="14">
        <v>43</v>
      </c>
      <c r="B218" s="19"/>
      <c r="C218" s="21" t="s">
        <v>109</v>
      </c>
      <c r="D218" s="18"/>
      <c r="E218" s="40">
        <v>150000</v>
      </c>
      <c r="F218" s="18"/>
    </row>
    <row r="219" spans="1:6" ht="15.75" x14ac:dyDescent="0.25">
      <c r="A219" s="14">
        <v>44</v>
      </c>
      <c r="B219" s="55">
        <v>45758</v>
      </c>
      <c r="C219" s="21" t="s">
        <v>110</v>
      </c>
      <c r="D219" s="18"/>
      <c r="E219" s="40">
        <v>2000000</v>
      </c>
      <c r="F219" s="18"/>
    </row>
    <row r="220" spans="1:6" ht="15.75" x14ac:dyDescent="0.25">
      <c r="A220" s="14">
        <v>45</v>
      </c>
      <c r="B220" s="19"/>
      <c r="C220" s="21" t="s">
        <v>92</v>
      </c>
      <c r="D220" s="18"/>
      <c r="E220" s="40">
        <v>23500</v>
      </c>
      <c r="F220" s="18"/>
    </row>
    <row r="221" spans="1:6" ht="15.75" x14ac:dyDescent="0.25">
      <c r="A221" s="14">
        <v>46</v>
      </c>
      <c r="B221" s="19"/>
      <c r="C221" s="21" t="s">
        <v>62</v>
      </c>
      <c r="D221" s="18"/>
      <c r="E221" s="40">
        <v>9000</v>
      </c>
      <c r="F221" s="18"/>
    </row>
    <row r="222" spans="1:6" ht="15.75" x14ac:dyDescent="0.25">
      <c r="A222" s="14">
        <v>47</v>
      </c>
      <c r="B222" s="19"/>
      <c r="C222" s="21" t="s">
        <v>111</v>
      </c>
      <c r="D222" s="18"/>
      <c r="E222" s="40">
        <v>35000</v>
      </c>
      <c r="F222" s="18"/>
    </row>
    <row r="223" spans="1:6" ht="15.75" x14ac:dyDescent="0.25">
      <c r="A223" s="14">
        <v>48</v>
      </c>
      <c r="B223" s="55">
        <v>45768</v>
      </c>
      <c r="C223" s="21" t="s">
        <v>61</v>
      </c>
      <c r="D223" s="18"/>
      <c r="E223" s="40">
        <v>78000</v>
      </c>
      <c r="F223" s="18"/>
    </row>
    <row r="224" spans="1:6" x14ac:dyDescent="0.25">
      <c r="A224" s="14">
        <v>49</v>
      </c>
      <c r="B224" s="19"/>
      <c r="C224" s="19" t="s">
        <v>112</v>
      </c>
      <c r="D224" s="18"/>
      <c r="E224" s="18">
        <v>100000</v>
      </c>
      <c r="F224" s="18"/>
    </row>
    <row r="225" spans="1:6" x14ac:dyDescent="0.25">
      <c r="A225" s="14">
        <v>50</v>
      </c>
      <c r="B225" s="19"/>
      <c r="C225" s="19" t="s">
        <v>113</v>
      </c>
      <c r="D225" s="18"/>
      <c r="E225" s="18">
        <v>18000</v>
      </c>
      <c r="F225" s="18"/>
    </row>
    <row r="226" spans="1:6" x14ac:dyDescent="0.25">
      <c r="A226" s="14">
        <v>51</v>
      </c>
      <c r="B226" s="19"/>
      <c r="C226" s="19" t="s">
        <v>114</v>
      </c>
      <c r="D226" s="18"/>
      <c r="E226" s="18">
        <v>655000</v>
      </c>
      <c r="F226" s="18"/>
    </row>
    <row r="227" spans="1:6" x14ac:dyDescent="0.25">
      <c r="A227" s="14">
        <v>52</v>
      </c>
      <c r="B227" s="55">
        <v>45770</v>
      </c>
      <c r="C227" s="17" t="s">
        <v>115</v>
      </c>
      <c r="D227" s="18"/>
      <c r="E227" s="18">
        <v>680000</v>
      </c>
      <c r="F227" s="18"/>
    </row>
    <row r="228" spans="1:6" x14ac:dyDescent="0.25">
      <c r="A228" s="22">
        <v>53</v>
      </c>
      <c r="B228" s="23"/>
      <c r="C228" s="23" t="s">
        <v>116</v>
      </c>
      <c r="D228" s="25"/>
      <c r="E228" s="25">
        <v>673500</v>
      </c>
      <c r="F228" s="25"/>
    </row>
    <row r="229" spans="1:6" x14ac:dyDescent="0.25">
      <c r="A229" s="47">
        <v>54</v>
      </c>
      <c r="B229" s="48"/>
      <c r="C229" s="23" t="s">
        <v>117</v>
      </c>
      <c r="D229" s="56"/>
      <c r="E229" s="25">
        <v>236000</v>
      </c>
      <c r="F229" s="28"/>
    </row>
    <row r="230" spans="1:6" x14ac:dyDescent="0.25">
      <c r="A230" s="50"/>
      <c r="B230" s="51"/>
      <c r="C230" s="53" t="s">
        <v>118</v>
      </c>
      <c r="D230" s="57"/>
      <c r="E230" s="32"/>
      <c r="F230" s="33"/>
    </row>
    <row r="231" spans="1:6" x14ac:dyDescent="0.25">
      <c r="A231" s="58">
        <v>55</v>
      </c>
      <c r="B231" s="59"/>
      <c r="C231" s="59" t="s">
        <v>119</v>
      </c>
      <c r="D231" s="60"/>
      <c r="E231" s="60">
        <v>200000</v>
      </c>
      <c r="F231" s="60"/>
    </row>
    <row r="232" spans="1:6" x14ac:dyDescent="0.25">
      <c r="A232" s="47">
        <v>56</v>
      </c>
      <c r="B232" s="48"/>
      <c r="C232" s="48" t="s">
        <v>120</v>
      </c>
      <c r="D232" s="25"/>
      <c r="E232" s="28">
        <v>289700</v>
      </c>
      <c r="F232" s="28"/>
    </row>
    <row r="233" spans="1:6" x14ac:dyDescent="0.25">
      <c r="A233" s="50"/>
      <c r="B233" s="51"/>
      <c r="C233" s="51" t="s">
        <v>121</v>
      </c>
      <c r="D233" s="32"/>
      <c r="E233" s="33"/>
      <c r="F233" s="33"/>
    </row>
    <row r="234" spans="1:6" x14ac:dyDescent="0.25">
      <c r="A234" s="29">
        <v>57</v>
      </c>
      <c r="B234" s="53"/>
      <c r="C234" s="53" t="s">
        <v>122</v>
      </c>
      <c r="D234" s="32"/>
      <c r="E234" s="32">
        <v>100000</v>
      </c>
      <c r="F234" s="32"/>
    </row>
    <row r="235" spans="1:6" x14ac:dyDescent="0.25">
      <c r="A235" s="14">
        <v>58</v>
      </c>
      <c r="B235" s="19"/>
      <c r="C235" s="19" t="s">
        <v>61</v>
      </c>
      <c r="D235" s="18"/>
      <c r="E235" s="18">
        <v>79000</v>
      </c>
      <c r="F235" s="18"/>
    </row>
    <row r="236" spans="1:6" x14ac:dyDescent="0.25">
      <c r="A236" s="14">
        <v>59</v>
      </c>
      <c r="B236" s="19"/>
      <c r="C236" s="19" t="s">
        <v>123</v>
      </c>
      <c r="D236" s="18"/>
      <c r="E236" s="18">
        <v>40000000</v>
      </c>
      <c r="F236" s="18"/>
    </row>
    <row r="237" spans="1:6" x14ac:dyDescent="0.25">
      <c r="A237" s="14"/>
      <c r="B237" s="19"/>
      <c r="C237" s="19"/>
      <c r="D237" s="18"/>
      <c r="E237" s="18"/>
      <c r="F237" s="18"/>
    </row>
    <row r="238" spans="1:6" x14ac:dyDescent="0.25">
      <c r="A238" s="42"/>
      <c r="B238" s="35"/>
      <c r="C238" s="35" t="s">
        <v>71</v>
      </c>
      <c r="D238" s="36">
        <f>SUM(D177:D237)</f>
        <v>27615000</v>
      </c>
      <c r="E238" s="36">
        <f>SUM(E177:E237)</f>
        <v>53378700</v>
      </c>
      <c r="F238" s="36">
        <f>D238-E238</f>
        <v>-25763700</v>
      </c>
    </row>
    <row r="239" spans="1:6" x14ac:dyDescent="0.25">
      <c r="A239" s="112"/>
      <c r="D239" s="38"/>
      <c r="E239" s="38"/>
      <c r="F239" s="38"/>
    </row>
    <row r="240" spans="1:6" x14ac:dyDescent="0.25">
      <c r="A240" s="112"/>
      <c r="D240" s="137" t="s">
        <v>124</v>
      </c>
      <c r="E240" s="137"/>
      <c r="F240" s="137"/>
    </row>
    <row r="241" spans="1:6" x14ac:dyDescent="0.25">
      <c r="A241" s="133" t="s">
        <v>73</v>
      </c>
      <c r="B241" s="133"/>
      <c r="C241" s="133"/>
      <c r="D241" s="137" t="s">
        <v>74</v>
      </c>
      <c r="E241" s="137"/>
      <c r="F241" s="137"/>
    </row>
    <row r="242" spans="1:6" x14ac:dyDescent="0.25">
      <c r="A242" s="112"/>
      <c r="D242" s="38"/>
      <c r="E242" s="38"/>
      <c r="F242" s="38"/>
    </row>
    <row r="243" spans="1:6" x14ac:dyDescent="0.25">
      <c r="A243" s="112"/>
      <c r="D243" s="38"/>
      <c r="E243" s="38"/>
      <c r="F243" s="38"/>
    </row>
    <row r="244" spans="1:6" x14ac:dyDescent="0.25">
      <c r="A244" s="133" t="s">
        <v>75</v>
      </c>
      <c r="B244" s="133"/>
      <c r="C244" s="133"/>
      <c r="D244" s="137" t="s">
        <v>76</v>
      </c>
      <c r="E244" s="137"/>
      <c r="F244" s="137"/>
    </row>
    <row r="245" spans="1:6" x14ac:dyDescent="0.25">
      <c r="A245" s="112"/>
      <c r="B245" s="112"/>
      <c r="C245" s="112"/>
      <c r="D245" s="113"/>
      <c r="E245" s="113"/>
      <c r="F245" s="113"/>
    </row>
    <row r="248" spans="1:6" ht="15.75" x14ac:dyDescent="0.25">
      <c r="A248" s="138" t="s">
        <v>19</v>
      </c>
      <c r="B248" s="139"/>
      <c r="C248" s="139"/>
      <c r="D248" s="139"/>
      <c r="E248" s="139"/>
      <c r="F248" s="140"/>
    </row>
    <row r="249" spans="1:6" ht="15.75" x14ac:dyDescent="0.25">
      <c r="A249" s="141" t="s">
        <v>125</v>
      </c>
      <c r="B249" s="142"/>
      <c r="C249" s="142"/>
      <c r="D249" s="142"/>
      <c r="E249" s="142"/>
      <c r="F249" s="143"/>
    </row>
    <row r="250" spans="1:6" x14ac:dyDescent="0.25">
      <c r="A250" s="14" t="s">
        <v>1</v>
      </c>
      <c r="B250" s="14" t="s">
        <v>21</v>
      </c>
      <c r="C250" s="14" t="s">
        <v>22</v>
      </c>
      <c r="D250" s="15" t="s">
        <v>23</v>
      </c>
      <c r="E250" s="15" t="s">
        <v>24</v>
      </c>
      <c r="F250" s="15" t="s">
        <v>5</v>
      </c>
    </row>
    <row r="251" spans="1:6" x14ac:dyDescent="0.25">
      <c r="A251" s="14">
        <v>1</v>
      </c>
      <c r="B251" s="16">
        <v>45777</v>
      </c>
      <c r="C251" s="61" t="s">
        <v>126</v>
      </c>
      <c r="D251" s="15">
        <v>1100000</v>
      </c>
      <c r="E251" s="15"/>
      <c r="F251" s="15"/>
    </row>
    <row r="252" spans="1:6" x14ac:dyDescent="0.25">
      <c r="A252" s="14">
        <v>2</v>
      </c>
      <c r="B252" s="16">
        <v>45778</v>
      </c>
      <c r="C252" s="17" t="s">
        <v>31</v>
      </c>
      <c r="D252" s="40">
        <v>1255000</v>
      </c>
      <c r="E252" s="40"/>
      <c r="F252" s="18"/>
    </row>
    <row r="253" spans="1:6" x14ac:dyDescent="0.25">
      <c r="A253" s="14">
        <v>3</v>
      </c>
      <c r="B253" s="16">
        <v>45778</v>
      </c>
      <c r="C253" s="17" t="s">
        <v>27</v>
      </c>
      <c r="D253" s="40">
        <v>1400000</v>
      </c>
      <c r="E253" s="40"/>
      <c r="F253" s="40"/>
    </row>
    <row r="254" spans="1:6" x14ac:dyDescent="0.25">
      <c r="A254" s="14">
        <v>4</v>
      </c>
      <c r="B254" s="16">
        <v>45778</v>
      </c>
      <c r="C254" s="17" t="s">
        <v>30</v>
      </c>
      <c r="D254" s="40">
        <v>890000</v>
      </c>
      <c r="E254" s="40"/>
      <c r="F254" s="40"/>
    </row>
    <row r="255" spans="1:6" x14ac:dyDescent="0.25">
      <c r="A255" s="14">
        <v>5</v>
      </c>
      <c r="B255" s="16">
        <v>45779</v>
      </c>
      <c r="C255" s="17" t="s">
        <v>78</v>
      </c>
      <c r="D255" s="40">
        <v>2750000</v>
      </c>
      <c r="E255" s="40"/>
      <c r="F255" s="18"/>
    </row>
    <row r="256" spans="1:6" x14ac:dyDescent="0.25">
      <c r="A256" s="14">
        <v>6</v>
      </c>
      <c r="B256" s="16">
        <v>45779</v>
      </c>
      <c r="C256" s="17" t="s">
        <v>42</v>
      </c>
      <c r="D256" s="40">
        <v>2250000</v>
      </c>
      <c r="E256" s="40"/>
      <c r="F256" s="40"/>
    </row>
    <row r="257" spans="1:6" x14ac:dyDescent="0.25">
      <c r="A257" s="14">
        <v>7</v>
      </c>
      <c r="B257" s="16">
        <v>45779</v>
      </c>
      <c r="C257" s="17" t="s">
        <v>32</v>
      </c>
      <c r="D257" s="40">
        <v>1125000</v>
      </c>
      <c r="E257" s="40"/>
      <c r="F257" s="40"/>
    </row>
    <row r="258" spans="1:6" x14ac:dyDescent="0.25">
      <c r="A258" s="14">
        <v>8</v>
      </c>
      <c r="B258" s="16">
        <v>45779</v>
      </c>
      <c r="C258" s="17" t="s">
        <v>34</v>
      </c>
      <c r="D258" s="40">
        <v>1375000</v>
      </c>
      <c r="E258" s="40"/>
      <c r="F258" s="40"/>
    </row>
    <row r="259" spans="1:6" x14ac:dyDescent="0.25">
      <c r="A259" s="14">
        <v>9</v>
      </c>
      <c r="B259" s="16">
        <v>45779</v>
      </c>
      <c r="C259" s="17" t="s">
        <v>28</v>
      </c>
      <c r="D259" s="40">
        <v>1255000</v>
      </c>
      <c r="E259" s="40"/>
      <c r="F259" s="40"/>
    </row>
    <row r="260" spans="1:6" x14ac:dyDescent="0.25">
      <c r="A260" s="14">
        <v>10</v>
      </c>
      <c r="B260" s="16">
        <v>45780</v>
      </c>
      <c r="C260" s="17" t="s">
        <v>38</v>
      </c>
      <c r="D260" s="40">
        <v>410000</v>
      </c>
      <c r="E260" s="18"/>
      <c r="F260" s="18"/>
    </row>
    <row r="261" spans="1:6" x14ac:dyDescent="0.25">
      <c r="A261" s="14">
        <v>11</v>
      </c>
      <c r="B261" s="16">
        <v>45781</v>
      </c>
      <c r="C261" s="17" t="s">
        <v>41</v>
      </c>
      <c r="D261" s="40">
        <v>750000</v>
      </c>
      <c r="E261" s="40"/>
      <c r="F261" s="40"/>
    </row>
    <row r="262" spans="1:6" x14ac:dyDescent="0.25">
      <c r="A262" s="14">
        <v>12</v>
      </c>
      <c r="B262" s="16">
        <v>45782</v>
      </c>
      <c r="C262" s="17" t="s">
        <v>35</v>
      </c>
      <c r="D262" s="40">
        <v>880000</v>
      </c>
      <c r="E262" s="40"/>
      <c r="F262" s="40"/>
    </row>
    <row r="263" spans="1:6" x14ac:dyDescent="0.25">
      <c r="A263" s="14">
        <v>13</v>
      </c>
      <c r="B263" s="16">
        <v>45782</v>
      </c>
      <c r="C263" s="17" t="s">
        <v>36</v>
      </c>
      <c r="D263" s="40">
        <v>750000</v>
      </c>
      <c r="E263" s="40"/>
      <c r="F263" s="18"/>
    </row>
    <row r="264" spans="1:6" x14ac:dyDescent="0.25">
      <c r="A264" s="14">
        <v>14</v>
      </c>
      <c r="B264" s="16">
        <v>45782</v>
      </c>
      <c r="C264" s="17" t="s">
        <v>29</v>
      </c>
      <c r="D264" s="40">
        <v>750000</v>
      </c>
      <c r="E264" s="40"/>
      <c r="F264" s="18"/>
    </row>
    <row r="265" spans="1:6" x14ac:dyDescent="0.25">
      <c r="A265" s="14">
        <v>15</v>
      </c>
      <c r="B265" s="16">
        <v>45783</v>
      </c>
      <c r="C265" s="17" t="s">
        <v>127</v>
      </c>
      <c r="D265" s="40">
        <v>1500000</v>
      </c>
      <c r="E265" s="40"/>
      <c r="F265" s="18"/>
    </row>
    <row r="266" spans="1:6" x14ac:dyDescent="0.25">
      <c r="A266" s="14">
        <v>16</v>
      </c>
      <c r="B266" s="16">
        <v>45783</v>
      </c>
      <c r="C266" s="17" t="s">
        <v>47</v>
      </c>
      <c r="D266" s="40">
        <v>1500000</v>
      </c>
      <c r="E266" s="18"/>
      <c r="F266" s="18"/>
    </row>
    <row r="267" spans="1:6" x14ac:dyDescent="0.25">
      <c r="A267" s="14">
        <v>17</v>
      </c>
      <c r="B267" s="16">
        <v>45783</v>
      </c>
      <c r="C267" s="17" t="s">
        <v>26</v>
      </c>
      <c r="D267" s="40">
        <v>900000</v>
      </c>
      <c r="E267" s="40"/>
      <c r="F267" s="18"/>
    </row>
    <row r="268" spans="1:6" x14ac:dyDescent="0.25">
      <c r="A268" s="14">
        <v>18</v>
      </c>
      <c r="B268" s="16">
        <v>45784</v>
      </c>
      <c r="C268" s="17" t="s">
        <v>43</v>
      </c>
      <c r="D268" s="40">
        <v>900000</v>
      </c>
      <c r="E268" s="40"/>
      <c r="F268" s="40"/>
    </row>
    <row r="269" spans="1:6" x14ac:dyDescent="0.25">
      <c r="A269" s="14">
        <v>19</v>
      </c>
      <c r="B269" s="16">
        <v>45784</v>
      </c>
      <c r="C269" s="17" t="s">
        <v>89</v>
      </c>
      <c r="D269" s="40">
        <v>1355000</v>
      </c>
      <c r="E269" s="40"/>
      <c r="F269" s="40"/>
    </row>
    <row r="270" spans="1:6" x14ac:dyDescent="0.25">
      <c r="A270" s="14">
        <v>20</v>
      </c>
      <c r="B270" s="16">
        <v>45784</v>
      </c>
      <c r="C270" s="17" t="s">
        <v>90</v>
      </c>
      <c r="D270" s="40">
        <v>1255000</v>
      </c>
      <c r="E270" s="40"/>
      <c r="F270" s="40"/>
    </row>
    <row r="271" spans="1:6" x14ac:dyDescent="0.25">
      <c r="A271" s="14">
        <v>21</v>
      </c>
      <c r="B271" s="16">
        <v>45785</v>
      </c>
      <c r="C271" s="17" t="s">
        <v>45</v>
      </c>
      <c r="D271" s="40">
        <v>1275000</v>
      </c>
      <c r="E271" s="40"/>
      <c r="F271" s="18"/>
    </row>
    <row r="272" spans="1:6" x14ac:dyDescent="0.25">
      <c r="A272" s="14">
        <v>22</v>
      </c>
      <c r="B272" s="16">
        <v>45785</v>
      </c>
      <c r="C272" s="17" t="s">
        <v>48</v>
      </c>
      <c r="D272" s="40">
        <v>750000</v>
      </c>
      <c r="E272" s="18"/>
      <c r="F272" s="40"/>
    </row>
    <row r="273" spans="1:6" x14ac:dyDescent="0.25">
      <c r="A273" s="14">
        <v>23</v>
      </c>
      <c r="B273" s="16">
        <v>45785</v>
      </c>
      <c r="C273" s="17" t="s">
        <v>90</v>
      </c>
      <c r="D273" s="40">
        <v>1255000</v>
      </c>
      <c r="E273" s="40"/>
      <c r="F273" s="40"/>
    </row>
    <row r="274" spans="1:6" x14ac:dyDescent="0.25">
      <c r="A274" s="14">
        <v>24</v>
      </c>
      <c r="B274" s="16">
        <v>45785</v>
      </c>
      <c r="C274" s="17" t="s">
        <v>44</v>
      </c>
      <c r="D274" s="40">
        <v>1245000</v>
      </c>
      <c r="E274" s="40"/>
      <c r="F274" s="18"/>
    </row>
    <row r="275" spans="1:6" x14ac:dyDescent="0.25">
      <c r="A275" s="14">
        <v>25</v>
      </c>
      <c r="B275" s="16">
        <v>45785</v>
      </c>
      <c r="C275" s="17" t="s">
        <v>37</v>
      </c>
      <c r="D275" s="40">
        <v>750000</v>
      </c>
      <c r="E275" s="40"/>
      <c r="F275" s="40"/>
    </row>
    <row r="276" spans="1:6" x14ac:dyDescent="0.25">
      <c r="A276" s="14">
        <v>26</v>
      </c>
      <c r="B276" s="16">
        <v>45786</v>
      </c>
      <c r="C276" s="17" t="s">
        <v>89</v>
      </c>
      <c r="D276" s="40">
        <v>60000</v>
      </c>
      <c r="E276" s="40"/>
      <c r="F276" s="40"/>
    </row>
    <row r="277" spans="1:6" x14ac:dyDescent="0.25">
      <c r="A277" s="14">
        <v>27</v>
      </c>
      <c r="B277" s="16">
        <v>45787</v>
      </c>
      <c r="C277" s="17" t="s">
        <v>46</v>
      </c>
      <c r="D277" s="40">
        <v>1125000</v>
      </c>
      <c r="E277" s="40"/>
      <c r="F277" s="40"/>
    </row>
    <row r="278" spans="1:6" x14ac:dyDescent="0.25">
      <c r="A278" s="14">
        <v>28</v>
      </c>
      <c r="B278" s="16">
        <v>45791</v>
      </c>
      <c r="C278" s="17" t="s">
        <v>40</v>
      </c>
      <c r="D278" s="40">
        <v>1375000</v>
      </c>
      <c r="E278" s="40"/>
      <c r="F278" s="40"/>
    </row>
    <row r="279" spans="1:6" x14ac:dyDescent="0.25">
      <c r="A279" s="14">
        <v>29</v>
      </c>
      <c r="B279" s="16">
        <v>45791</v>
      </c>
      <c r="C279" s="17" t="s">
        <v>128</v>
      </c>
      <c r="D279" s="40">
        <v>750000</v>
      </c>
      <c r="E279" s="40"/>
      <c r="F279" s="40"/>
    </row>
    <row r="280" spans="1:6" x14ac:dyDescent="0.25">
      <c r="A280" s="14">
        <v>30</v>
      </c>
      <c r="B280" s="16">
        <v>45791</v>
      </c>
      <c r="C280" s="17" t="s">
        <v>129</v>
      </c>
      <c r="D280" s="40">
        <v>1600000</v>
      </c>
      <c r="E280" s="40"/>
      <c r="F280" s="40"/>
    </row>
    <row r="281" spans="1:6" x14ac:dyDescent="0.25">
      <c r="A281" s="14">
        <v>31</v>
      </c>
      <c r="B281" s="16">
        <v>45792</v>
      </c>
      <c r="C281" s="17" t="s">
        <v>33</v>
      </c>
      <c r="D281" s="40">
        <v>800000</v>
      </c>
      <c r="E281" s="40"/>
      <c r="F281" s="40"/>
    </row>
    <row r="282" spans="1:6" x14ac:dyDescent="0.25">
      <c r="A282" s="14">
        <v>32</v>
      </c>
      <c r="B282" s="16">
        <v>45792</v>
      </c>
      <c r="C282" s="17" t="s">
        <v>130</v>
      </c>
      <c r="D282" s="40">
        <v>1125000</v>
      </c>
      <c r="E282" s="40"/>
      <c r="F282" s="40"/>
    </row>
    <row r="283" spans="1:6" x14ac:dyDescent="0.25">
      <c r="A283" s="14">
        <v>33</v>
      </c>
      <c r="B283" s="16">
        <v>45796</v>
      </c>
      <c r="C283" s="17" t="s">
        <v>46</v>
      </c>
      <c r="D283" s="40">
        <v>1125000</v>
      </c>
      <c r="E283" s="40"/>
      <c r="F283" s="40"/>
    </row>
    <row r="284" spans="1:6" x14ac:dyDescent="0.25">
      <c r="A284" s="14">
        <v>34</v>
      </c>
      <c r="B284" s="16">
        <v>45800</v>
      </c>
      <c r="C284" s="17" t="s">
        <v>131</v>
      </c>
      <c r="D284" s="40">
        <v>125000</v>
      </c>
      <c r="E284" s="40"/>
      <c r="F284" s="40"/>
    </row>
    <row r="285" spans="1:6" x14ac:dyDescent="0.25">
      <c r="A285" s="14"/>
      <c r="B285" s="16"/>
      <c r="C285" s="41" t="s">
        <v>132</v>
      </c>
      <c r="D285" s="40"/>
      <c r="E285" s="40"/>
      <c r="F285" s="40"/>
    </row>
    <row r="286" spans="1:6" ht="15.75" x14ac:dyDescent="0.25">
      <c r="A286" s="14">
        <v>35</v>
      </c>
      <c r="B286" s="16">
        <v>45778</v>
      </c>
      <c r="C286" s="21" t="s">
        <v>50</v>
      </c>
      <c r="D286" s="18"/>
      <c r="E286" s="18">
        <v>1450000</v>
      </c>
      <c r="F286" s="18"/>
    </row>
    <row r="287" spans="1:6" ht="15.75" x14ac:dyDescent="0.25">
      <c r="A287" s="14">
        <v>36</v>
      </c>
      <c r="B287" s="16"/>
      <c r="C287" s="21" t="s">
        <v>51</v>
      </c>
      <c r="D287" s="18"/>
      <c r="E287" s="18">
        <v>1450000</v>
      </c>
      <c r="F287" s="40"/>
    </row>
    <row r="288" spans="1:6" ht="15.75" x14ac:dyDescent="0.25">
      <c r="A288" s="14">
        <v>37</v>
      </c>
      <c r="B288" s="16"/>
      <c r="C288" s="21" t="s">
        <v>52</v>
      </c>
      <c r="D288" s="18"/>
      <c r="E288" s="18">
        <v>1350000</v>
      </c>
      <c r="F288" s="18"/>
    </row>
    <row r="289" spans="1:6" ht="15.75" x14ac:dyDescent="0.25">
      <c r="A289" s="14">
        <v>38</v>
      </c>
      <c r="B289" s="14"/>
      <c r="C289" s="21" t="s">
        <v>53</v>
      </c>
      <c r="D289" s="18"/>
      <c r="E289" s="18">
        <v>1350000</v>
      </c>
      <c r="F289" s="18"/>
    </row>
    <row r="290" spans="1:6" ht="15.75" x14ac:dyDescent="0.25">
      <c r="A290" s="14">
        <v>39</v>
      </c>
      <c r="B290" s="14"/>
      <c r="C290" s="21" t="s">
        <v>133</v>
      </c>
      <c r="D290" s="40"/>
      <c r="E290" s="40">
        <v>100000</v>
      </c>
      <c r="F290" s="18"/>
    </row>
    <row r="291" spans="1:6" ht="15.75" x14ac:dyDescent="0.25">
      <c r="A291" s="14">
        <v>40</v>
      </c>
      <c r="B291" s="14"/>
      <c r="C291" s="21" t="s">
        <v>55</v>
      </c>
      <c r="D291" s="40"/>
      <c r="E291" s="40">
        <v>750000</v>
      </c>
      <c r="F291" s="18"/>
    </row>
    <row r="292" spans="1:6" ht="15.75" x14ac:dyDescent="0.25">
      <c r="A292" s="14">
        <v>41</v>
      </c>
      <c r="B292" s="14"/>
      <c r="C292" s="21" t="s">
        <v>56</v>
      </c>
      <c r="D292" s="40"/>
      <c r="E292" s="40">
        <v>1680000</v>
      </c>
      <c r="F292" s="18"/>
    </row>
    <row r="293" spans="1:6" x14ac:dyDescent="0.25">
      <c r="A293" s="14">
        <v>42</v>
      </c>
      <c r="B293" s="14"/>
      <c r="C293" s="19" t="s">
        <v>134</v>
      </c>
      <c r="D293" s="18"/>
      <c r="E293" s="18">
        <v>20000</v>
      </c>
      <c r="F293" s="18"/>
    </row>
    <row r="294" spans="1:6" x14ac:dyDescent="0.25">
      <c r="A294" s="14">
        <v>43</v>
      </c>
      <c r="B294" s="14"/>
      <c r="C294" s="19" t="s">
        <v>135</v>
      </c>
      <c r="D294" s="18"/>
      <c r="E294" s="18">
        <v>23000</v>
      </c>
      <c r="F294" s="18"/>
    </row>
    <row r="295" spans="1:6" x14ac:dyDescent="0.25">
      <c r="A295" s="14">
        <v>44</v>
      </c>
      <c r="B295" s="14"/>
      <c r="C295" s="19" t="s">
        <v>62</v>
      </c>
      <c r="D295" s="18"/>
      <c r="E295" s="18">
        <v>40000</v>
      </c>
      <c r="F295" s="18"/>
    </row>
    <row r="296" spans="1:6" x14ac:dyDescent="0.25">
      <c r="A296" s="14">
        <v>45</v>
      </c>
      <c r="B296" s="14"/>
      <c r="C296" s="19" t="s">
        <v>136</v>
      </c>
      <c r="D296" s="18"/>
      <c r="E296" s="18">
        <v>300000</v>
      </c>
      <c r="F296" s="18"/>
    </row>
    <row r="297" spans="1:6" x14ac:dyDescent="0.25">
      <c r="A297" s="14">
        <v>46</v>
      </c>
      <c r="B297" s="14"/>
      <c r="C297" s="19" t="s">
        <v>137</v>
      </c>
      <c r="D297" s="18"/>
      <c r="E297" s="18">
        <v>50000</v>
      </c>
      <c r="F297" s="18"/>
    </row>
    <row r="298" spans="1:6" x14ac:dyDescent="0.25">
      <c r="A298" s="14">
        <v>47</v>
      </c>
      <c r="B298" s="14"/>
      <c r="C298" s="19" t="s">
        <v>138</v>
      </c>
      <c r="D298" s="18"/>
      <c r="E298" s="18">
        <v>70000</v>
      </c>
      <c r="F298" s="18"/>
    </row>
    <row r="299" spans="1:6" x14ac:dyDescent="0.25">
      <c r="A299" s="14">
        <v>48</v>
      </c>
      <c r="B299" s="14"/>
      <c r="C299" s="19" t="s">
        <v>139</v>
      </c>
      <c r="D299" s="18"/>
      <c r="E299" s="18">
        <v>30000</v>
      </c>
      <c r="F299" s="18"/>
    </row>
    <row r="300" spans="1:6" x14ac:dyDescent="0.25">
      <c r="A300" s="14">
        <v>49</v>
      </c>
      <c r="B300" s="14"/>
      <c r="C300" s="19" t="s">
        <v>140</v>
      </c>
      <c r="D300" s="18"/>
      <c r="E300" s="18">
        <v>75000</v>
      </c>
      <c r="F300" s="18"/>
    </row>
    <row r="301" spans="1:6" x14ac:dyDescent="0.25">
      <c r="A301" s="14">
        <v>50</v>
      </c>
      <c r="B301" s="14"/>
      <c r="C301" s="19" t="s">
        <v>141</v>
      </c>
      <c r="D301" s="18"/>
      <c r="E301" s="18">
        <v>50000</v>
      </c>
      <c r="F301" s="18"/>
    </row>
    <row r="302" spans="1:6" x14ac:dyDescent="0.25">
      <c r="A302" s="14">
        <v>51</v>
      </c>
      <c r="B302" s="14"/>
      <c r="C302" s="19" t="s">
        <v>142</v>
      </c>
      <c r="D302" s="18"/>
      <c r="E302" s="18">
        <v>17500</v>
      </c>
      <c r="F302" s="18"/>
    </row>
    <row r="303" spans="1:6" x14ac:dyDescent="0.25">
      <c r="A303" s="14">
        <v>52</v>
      </c>
      <c r="B303" s="14"/>
      <c r="C303" s="19" t="s">
        <v>143</v>
      </c>
      <c r="D303" s="18"/>
      <c r="E303" s="18">
        <v>22000</v>
      </c>
      <c r="F303" s="18"/>
    </row>
    <row r="304" spans="1:6" x14ac:dyDescent="0.25">
      <c r="A304" s="14">
        <v>53</v>
      </c>
      <c r="B304" s="14"/>
      <c r="C304" s="19" t="s">
        <v>144</v>
      </c>
      <c r="D304" s="18"/>
      <c r="E304" s="18">
        <v>40000</v>
      </c>
      <c r="F304" s="18"/>
    </row>
    <row r="305" spans="1:6" x14ac:dyDescent="0.25">
      <c r="A305" s="14">
        <v>54</v>
      </c>
      <c r="B305" s="14"/>
      <c r="C305" s="19" t="s">
        <v>61</v>
      </c>
      <c r="D305" s="18"/>
      <c r="E305" s="18">
        <v>79000</v>
      </c>
      <c r="F305" s="18"/>
    </row>
    <row r="306" spans="1:6" x14ac:dyDescent="0.25">
      <c r="A306" s="14">
        <v>55</v>
      </c>
      <c r="B306" s="14"/>
      <c r="C306" s="19" t="s">
        <v>145</v>
      </c>
      <c r="D306" s="18"/>
      <c r="E306" s="18">
        <v>990000</v>
      </c>
      <c r="F306" s="18"/>
    </row>
    <row r="307" spans="1:6" x14ac:dyDescent="0.25">
      <c r="A307" s="14">
        <v>56</v>
      </c>
      <c r="B307" s="14"/>
      <c r="C307" s="19" t="s">
        <v>258</v>
      </c>
      <c r="D307" s="18"/>
      <c r="E307" s="18">
        <v>24000</v>
      </c>
      <c r="F307" s="18"/>
    </row>
    <row r="308" spans="1:6" x14ac:dyDescent="0.25">
      <c r="A308" s="22">
        <v>57</v>
      </c>
      <c r="B308" s="95"/>
      <c r="C308" s="48" t="s">
        <v>146</v>
      </c>
      <c r="D308" s="25"/>
      <c r="E308" s="28"/>
      <c r="F308" s="28"/>
    </row>
    <row r="309" spans="1:6" x14ac:dyDescent="0.25">
      <c r="A309" s="58"/>
      <c r="B309" s="112"/>
      <c r="C309" s="62" t="s">
        <v>147</v>
      </c>
      <c r="D309" s="60"/>
      <c r="E309" s="63">
        <v>9405000</v>
      </c>
      <c r="F309" s="63"/>
    </row>
    <row r="310" spans="1:6" x14ac:dyDescent="0.25">
      <c r="A310" s="29"/>
      <c r="B310" s="96"/>
      <c r="C310" s="51" t="s">
        <v>148</v>
      </c>
      <c r="D310" s="32"/>
      <c r="E310" s="33"/>
      <c r="F310" s="33"/>
    </row>
    <row r="311" spans="1:6" x14ac:dyDescent="0.25">
      <c r="A311" s="29">
        <v>58</v>
      </c>
      <c r="B311" s="29"/>
      <c r="C311" s="64" t="s">
        <v>149</v>
      </c>
      <c r="D311" s="32"/>
      <c r="E311" s="32">
        <v>110000</v>
      </c>
      <c r="F311" s="32"/>
    </row>
    <row r="312" spans="1:6" x14ac:dyDescent="0.25">
      <c r="A312" s="29">
        <v>59</v>
      </c>
      <c r="B312" s="14"/>
      <c r="C312" s="19" t="s">
        <v>150</v>
      </c>
      <c r="D312" s="18"/>
      <c r="E312" s="18">
        <v>133000</v>
      </c>
      <c r="F312" s="18"/>
    </row>
    <row r="313" spans="1:6" x14ac:dyDescent="0.25">
      <c r="A313" s="14">
        <v>60</v>
      </c>
      <c r="B313" s="14"/>
      <c r="C313" s="19" t="s">
        <v>151</v>
      </c>
      <c r="D313" s="18"/>
      <c r="E313" s="18">
        <v>7500</v>
      </c>
      <c r="F313" s="18"/>
    </row>
    <row r="314" spans="1:6" x14ac:dyDescent="0.25">
      <c r="A314" s="29">
        <v>61</v>
      </c>
      <c r="B314" s="14"/>
      <c r="C314" s="19" t="s">
        <v>61</v>
      </c>
      <c r="D314" s="18"/>
      <c r="E314" s="18">
        <v>79000</v>
      </c>
      <c r="F314" s="18"/>
    </row>
    <row r="315" spans="1:6" x14ac:dyDescent="0.25">
      <c r="A315" s="29">
        <v>62</v>
      </c>
      <c r="B315" s="14"/>
      <c r="C315" s="19" t="s">
        <v>143</v>
      </c>
      <c r="D315" s="18"/>
      <c r="E315" s="18">
        <v>17000</v>
      </c>
      <c r="F315" s="18"/>
    </row>
    <row r="316" spans="1:6" x14ac:dyDescent="0.25">
      <c r="A316" s="14">
        <v>63</v>
      </c>
      <c r="B316" s="14"/>
      <c r="C316" s="19" t="s">
        <v>152</v>
      </c>
      <c r="D316" s="18"/>
      <c r="E316" s="18">
        <v>439000</v>
      </c>
      <c r="F316" s="18"/>
    </row>
    <row r="317" spans="1:6" x14ac:dyDescent="0.25">
      <c r="A317" s="29">
        <v>64</v>
      </c>
      <c r="B317" s="14"/>
      <c r="C317" s="19" t="s">
        <v>153</v>
      </c>
      <c r="D317" s="18"/>
      <c r="E317" s="18">
        <v>648000</v>
      </c>
      <c r="F317" s="18"/>
    </row>
    <row r="318" spans="1:6" x14ac:dyDescent="0.25">
      <c r="A318" s="29">
        <v>65</v>
      </c>
      <c r="B318" s="14"/>
      <c r="C318" s="19" t="s">
        <v>154</v>
      </c>
      <c r="D318" s="18"/>
      <c r="E318" s="18"/>
      <c r="F318" s="18"/>
    </row>
    <row r="319" spans="1:6" x14ac:dyDescent="0.25">
      <c r="A319" s="14">
        <v>66</v>
      </c>
      <c r="B319" s="14"/>
      <c r="C319" s="19" t="s">
        <v>155</v>
      </c>
      <c r="D319" s="18"/>
      <c r="E319" s="18">
        <v>380000</v>
      </c>
      <c r="F319" s="18"/>
    </row>
    <row r="320" spans="1:6" x14ac:dyDescent="0.25">
      <c r="A320" s="29">
        <v>67</v>
      </c>
      <c r="B320" s="14"/>
      <c r="C320" s="19" t="s">
        <v>156</v>
      </c>
      <c r="D320" s="18"/>
      <c r="E320" s="18">
        <v>5745000</v>
      </c>
      <c r="F320" s="18"/>
    </row>
    <row r="321" spans="1:6" x14ac:dyDescent="0.25">
      <c r="A321" s="29">
        <v>68</v>
      </c>
      <c r="B321" s="14"/>
      <c r="C321" s="19" t="s">
        <v>157</v>
      </c>
      <c r="D321" s="18"/>
      <c r="E321" s="18">
        <v>110000</v>
      </c>
      <c r="F321" s="18"/>
    </row>
    <row r="322" spans="1:6" x14ac:dyDescent="0.25">
      <c r="A322" s="14">
        <v>69</v>
      </c>
      <c r="B322" s="14"/>
      <c r="C322" s="19" t="s">
        <v>122</v>
      </c>
      <c r="D322" s="18"/>
      <c r="E322" s="18">
        <v>110000</v>
      </c>
      <c r="F322" s="18"/>
    </row>
    <row r="323" spans="1:6" x14ac:dyDescent="0.25">
      <c r="A323" s="29">
        <v>70</v>
      </c>
      <c r="B323" s="16">
        <v>45796</v>
      </c>
      <c r="C323" s="19" t="s">
        <v>158</v>
      </c>
      <c r="D323" s="18"/>
      <c r="E323" s="18">
        <v>633600</v>
      </c>
      <c r="F323" s="18"/>
    </row>
    <row r="324" spans="1:6" x14ac:dyDescent="0.25">
      <c r="A324" s="29">
        <v>71</v>
      </c>
      <c r="B324" s="14"/>
      <c r="C324" s="19" t="s">
        <v>159</v>
      </c>
      <c r="D324" s="18"/>
      <c r="E324" s="18">
        <v>1599000</v>
      </c>
      <c r="F324" s="18"/>
    </row>
    <row r="325" spans="1:6" x14ac:dyDescent="0.25">
      <c r="A325" s="14">
        <v>72</v>
      </c>
      <c r="B325" s="14"/>
      <c r="C325" s="19" t="s">
        <v>160</v>
      </c>
      <c r="D325" s="18"/>
      <c r="E325" s="18">
        <v>100000</v>
      </c>
      <c r="F325" s="18"/>
    </row>
    <row r="326" spans="1:6" x14ac:dyDescent="0.25">
      <c r="A326" s="29">
        <v>73</v>
      </c>
      <c r="B326" s="16">
        <v>45801</v>
      </c>
      <c r="C326" s="19" t="s">
        <v>161</v>
      </c>
      <c r="D326" s="18"/>
      <c r="E326" s="18">
        <v>10000000</v>
      </c>
      <c r="F326" s="18"/>
    </row>
    <row r="327" spans="1:6" x14ac:dyDescent="0.25">
      <c r="A327" s="29">
        <v>74</v>
      </c>
      <c r="B327" s="14"/>
      <c r="C327" s="19" t="s">
        <v>162</v>
      </c>
      <c r="D327" s="18"/>
      <c r="E327" s="18">
        <v>60000</v>
      </c>
      <c r="F327" s="18"/>
    </row>
    <row r="328" spans="1:6" x14ac:dyDescent="0.25">
      <c r="A328" s="14">
        <v>75</v>
      </c>
      <c r="B328" s="14"/>
      <c r="C328" s="19" t="s">
        <v>163</v>
      </c>
      <c r="D328" s="18"/>
      <c r="E328" s="18">
        <v>106000</v>
      </c>
      <c r="F328" s="18"/>
    </row>
    <row r="329" spans="1:6" x14ac:dyDescent="0.25">
      <c r="A329" s="29">
        <v>76</v>
      </c>
      <c r="B329" s="14"/>
      <c r="C329" s="19" t="s">
        <v>164</v>
      </c>
      <c r="D329" s="18"/>
      <c r="E329" s="18">
        <v>46500</v>
      </c>
      <c r="F329" s="18"/>
    </row>
    <row r="330" spans="1:6" x14ac:dyDescent="0.25">
      <c r="A330" s="29">
        <v>77</v>
      </c>
      <c r="B330" s="14"/>
      <c r="C330" s="19" t="s">
        <v>165</v>
      </c>
      <c r="D330" s="18"/>
      <c r="E330" s="18">
        <v>90000</v>
      </c>
      <c r="F330" s="18"/>
    </row>
    <row r="331" spans="1:6" x14ac:dyDescent="0.25">
      <c r="A331" s="14">
        <v>78</v>
      </c>
      <c r="B331" s="14"/>
      <c r="C331" s="19" t="s">
        <v>166</v>
      </c>
      <c r="D331" s="18"/>
      <c r="E331" s="18">
        <v>16000</v>
      </c>
      <c r="F331" s="18"/>
    </row>
    <row r="332" spans="1:6" x14ac:dyDescent="0.25">
      <c r="A332" s="29">
        <v>79</v>
      </c>
      <c r="B332" s="14"/>
      <c r="C332" s="19" t="s">
        <v>167</v>
      </c>
      <c r="D332" s="18"/>
      <c r="E332" s="18">
        <v>15000</v>
      </c>
      <c r="F332" s="18"/>
    </row>
    <row r="333" spans="1:6" x14ac:dyDescent="0.25">
      <c r="A333" s="29">
        <v>80</v>
      </c>
      <c r="B333" s="14"/>
      <c r="C333" s="19" t="s">
        <v>168</v>
      </c>
      <c r="D333" s="18"/>
      <c r="E333" s="18">
        <v>47500</v>
      </c>
      <c r="F333" s="18"/>
    </row>
    <row r="334" spans="1:6" x14ac:dyDescent="0.25">
      <c r="A334" s="14">
        <v>81</v>
      </c>
      <c r="B334" s="14"/>
      <c r="C334" s="19" t="s">
        <v>169</v>
      </c>
      <c r="D334" s="18"/>
      <c r="E334" s="18">
        <v>30000</v>
      </c>
      <c r="F334" s="18"/>
    </row>
    <row r="335" spans="1:6" x14ac:dyDescent="0.25">
      <c r="A335" s="29">
        <v>82</v>
      </c>
      <c r="B335" s="14"/>
      <c r="C335" s="19" t="s">
        <v>170</v>
      </c>
      <c r="D335" s="18"/>
      <c r="E335" s="18">
        <v>22000</v>
      </c>
      <c r="F335" s="18"/>
    </row>
    <row r="336" spans="1:6" x14ac:dyDescent="0.25">
      <c r="A336" s="29">
        <v>83</v>
      </c>
      <c r="B336" s="14"/>
      <c r="C336" s="19" t="s">
        <v>171</v>
      </c>
      <c r="D336" s="18"/>
      <c r="E336" s="18">
        <v>400000</v>
      </c>
      <c r="F336" s="18"/>
    </row>
    <row r="337" spans="1:6" x14ac:dyDescent="0.25">
      <c r="A337" s="14">
        <v>84</v>
      </c>
      <c r="B337" s="16">
        <v>45803</v>
      </c>
      <c r="C337" s="19" t="s">
        <v>172</v>
      </c>
      <c r="D337" s="18"/>
      <c r="E337" s="18">
        <v>50000</v>
      </c>
      <c r="F337" s="18"/>
    </row>
    <row r="338" spans="1:6" x14ac:dyDescent="0.25">
      <c r="A338" s="29">
        <v>85</v>
      </c>
      <c r="B338" s="14"/>
      <c r="C338" s="19" t="s">
        <v>173</v>
      </c>
      <c r="D338" s="18"/>
      <c r="E338" s="18">
        <v>15000000</v>
      </c>
      <c r="F338" s="18"/>
    </row>
    <row r="339" spans="1:6" x14ac:dyDescent="0.25">
      <c r="A339" s="29">
        <v>86</v>
      </c>
      <c r="B339" s="14"/>
      <c r="C339" s="19" t="s">
        <v>174</v>
      </c>
      <c r="D339" s="18"/>
      <c r="E339" s="18">
        <v>58000</v>
      </c>
      <c r="F339" s="18"/>
    </row>
    <row r="340" spans="1:6" x14ac:dyDescent="0.25">
      <c r="A340" s="14">
        <v>87</v>
      </c>
      <c r="B340" s="14"/>
      <c r="C340" s="19" t="s">
        <v>175</v>
      </c>
      <c r="D340" s="18"/>
      <c r="E340" s="18">
        <v>11000</v>
      </c>
      <c r="F340" s="18"/>
    </row>
    <row r="341" spans="1:6" x14ac:dyDescent="0.25">
      <c r="A341" s="29">
        <v>88</v>
      </c>
      <c r="B341" s="16">
        <v>45804</v>
      </c>
      <c r="C341" s="19" t="s">
        <v>176</v>
      </c>
      <c r="D341" s="18"/>
      <c r="E341" s="18">
        <v>75000</v>
      </c>
      <c r="F341" s="18"/>
    </row>
    <row r="342" spans="1:6" x14ac:dyDescent="0.25">
      <c r="A342" s="29">
        <v>89</v>
      </c>
      <c r="B342" s="14"/>
      <c r="C342" s="19" t="s">
        <v>177</v>
      </c>
      <c r="D342" s="18"/>
      <c r="E342" s="18">
        <v>349000</v>
      </c>
      <c r="F342" s="18"/>
    </row>
    <row r="343" spans="1:6" x14ac:dyDescent="0.25">
      <c r="A343" s="14">
        <v>90</v>
      </c>
      <c r="B343" s="14"/>
      <c r="C343" s="19" t="s">
        <v>162</v>
      </c>
      <c r="D343" s="18"/>
      <c r="E343" s="18">
        <v>44000</v>
      </c>
      <c r="F343" s="18"/>
    </row>
    <row r="344" spans="1:6" x14ac:dyDescent="0.25">
      <c r="A344" s="29">
        <v>91</v>
      </c>
      <c r="B344" s="16">
        <v>45806</v>
      </c>
      <c r="C344" s="19" t="s">
        <v>178</v>
      </c>
      <c r="D344" s="18"/>
      <c r="E344" s="18">
        <v>32000</v>
      </c>
      <c r="F344" s="18"/>
    </row>
    <row r="345" spans="1:6" x14ac:dyDescent="0.25">
      <c r="A345" s="29">
        <v>92</v>
      </c>
      <c r="B345" s="14"/>
      <c r="C345" s="19" t="s">
        <v>179</v>
      </c>
      <c r="D345" s="18"/>
      <c r="E345" s="18">
        <v>110000</v>
      </c>
      <c r="F345" s="18"/>
    </row>
    <row r="346" spans="1:6" x14ac:dyDescent="0.25">
      <c r="A346" s="14">
        <v>93</v>
      </c>
      <c r="B346" s="14"/>
      <c r="C346" s="19" t="s">
        <v>180</v>
      </c>
      <c r="D346" s="18"/>
      <c r="E346" s="18">
        <v>125000</v>
      </c>
      <c r="F346" s="18"/>
    </row>
    <row r="347" spans="1:6" x14ac:dyDescent="0.25">
      <c r="A347" s="14"/>
      <c r="B347" s="14"/>
      <c r="C347" s="19"/>
      <c r="D347" s="18"/>
      <c r="E347" s="18"/>
      <c r="F347" s="18"/>
    </row>
    <row r="348" spans="1:6" x14ac:dyDescent="0.25">
      <c r="A348" s="42"/>
      <c r="B348" s="42"/>
      <c r="C348" s="35" t="s">
        <v>71</v>
      </c>
      <c r="D348" s="36">
        <f>SUM(D251:D347)</f>
        <v>37710000</v>
      </c>
      <c r="E348" s="36">
        <f>SUM(E251:E347)</f>
        <v>56163600</v>
      </c>
      <c r="F348" s="36">
        <f>D348-E348</f>
        <v>-18453600</v>
      </c>
    </row>
    <row r="349" spans="1:6" x14ac:dyDescent="0.25">
      <c r="A349" s="112"/>
      <c r="B349" s="112"/>
      <c r="D349" s="38"/>
      <c r="E349" s="38"/>
      <c r="F349" s="38"/>
    </row>
    <row r="350" spans="1:6" x14ac:dyDescent="0.25">
      <c r="A350" s="112"/>
      <c r="B350" s="112"/>
      <c r="D350" s="137" t="s">
        <v>181</v>
      </c>
      <c r="E350" s="137"/>
      <c r="F350" s="137"/>
    </row>
    <row r="351" spans="1:6" x14ac:dyDescent="0.25">
      <c r="A351" s="133" t="s">
        <v>73</v>
      </c>
      <c r="B351" s="133"/>
      <c r="C351" s="133"/>
      <c r="D351" s="137" t="s">
        <v>74</v>
      </c>
      <c r="E351" s="137"/>
      <c r="F351" s="137"/>
    </row>
    <row r="352" spans="1:6" x14ac:dyDescent="0.25">
      <c r="A352" s="112"/>
      <c r="B352" s="112"/>
      <c r="D352" s="38"/>
      <c r="E352" s="38"/>
      <c r="F352" s="38"/>
    </row>
    <row r="353" spans="1:6" x14ac:dyDescent="0.25">
      <c r="A353" s="112"/>
      <c r="B353" s="112"/>
      <c r="D353" s="38"/>
      <c r="E353" s="38"/>
      <c r="F353" s="38"/>
    </row>
    <row r="354" spans="1:6" x14ac:dyDescent="0.25">
      <c r="A354" s="133" t="s">
        <v>75</v>
      </c>
      <c r="B354" s="133"/>
      <c r="C354" s="133"/>
      <c r="D354" s="137" t="s">
        <v>76</v>
      </c>
      <c r="E354" s="137"/>
      <c r="F354" s="137"/>
    </row>
    <row r="355" spans="1:6" x14ac:dyDescent="0.25">
      <c r="A355" s="112"/>
      <c r="B355" s="112"/>
      <c r="D355" s="38"/>
      <c r="E355" s="38"/>
      <c r="F355" s="38"/>
    </row>
    <row r="356" spans="1:6" x14ac:dyDescent="0.25">
      <c r="A356" s="112"/>
      <c r="B356" s="112"/>
      <c r="D356" s="38"/>
      <c r="E356" s="38"/>
      <c r="F356" s="38"/>
    </row>
    <row r="357" spans="1:6" ht="15.75" x14ac:dyDescent="0.25">
      <c r="A357" s="138" t="s">
        <v>19</v>
      </c>
      <c r="B357" s="139"/>
      <c r="C357" s="139"/>
      <c r="D357" s="139"/>
      <c r="E357" s="139"/>
      <c r="F357" s="140"/>
    </row>
    <row r="358" spans="1:6" ht="15.75" x14ac:dyDescent="0.25">
      <c r="A358" s="141" t="s">
        <v>259</v>
      </c>
      <c r="B358" s="142"/>
      <c r="C358" s="142"/>
      <c r="D358" s="142"/>
      <c r="E358" s="142"/>
      <c r="F358" s="143"/>
    </row>
    <row r="359" spans="1:6" x14ac:dyDescent="0.25">
      <c r="A359" s="14" t="s">
        <v>1</v>
      </c>
      <c r="B359" s="14" t="s">
        <v>21</v>
      </c>
      <c r="C359" s="14" t="s">
        <v>22</v>
      </c>
      <c r="D359" s="15" t="s">
        <v>23</v>
      </c>
      <c r="E359" s="15" t="s">
        <v>24</v>
      </c>
      <c r="F359" s="15" t="s">
        <v>5</v>
      </c>
    </row>
    <row r="360" spans="1:6" x14ac:dyDescent="0.25">
      <c r="A360" s="14">
        <v>1</v>
      </c>
      <c r="B360" s="16">
        <v>45809</v>
      </c>
      <c r="C360" s="17" t="s">
        <v>26</v>
      </c>
      <c r="D360" s="40">
        <v>900000</v>
      </c>
      <c r="E360" s="18"/>
      <c r="F360" s="18"/>
    </row>
    <row r="361" spans="1:6" x14ac:dyDescent="0.25">
      <c r="A361" s="14">
        <v>2</v>
      </c>
      <c r="B361" s="16">
        <v>45809</v>
      </c>
      <c r="C361" s="17" t="s">
        <v>34</v>
      </c>
      <c r="D361" s="40">
        <v>1375000</v>
      </c>
      <c r="E361" s="18"/>
      <c r="F361" s="18"/>
    </row>
    <row r="362" spans="1:6" x14ac:dyDescent="0.25">
      <c r="A362" s="14">
        <v>3</v>
      </c>
      <c r="B362" s="16">
        <v>45810</v>
      </c>
      <c r="C362" s="17" t="s">
        <v>99</v>
      </c>
      <c r="D362" s="40">
        <v>2250000</v>
      </c>
      <c r="E362" s="18"/>
      <c r="F362" s="18"/>
    </row>
    <row r="363" spans="1:6" x14ac:dyDescent="0.25">
      <c r="A363" s="14">
        <v>4</v>
      </c>
      <c r="B363" s="16">
        <v>45810</v>
      </c>
      <c r="C363" s="17" t="s">
        <v>32</v>
      </c>
      <c r="D363" s="40">
        <v>1125000</v>
      </c>
      <c r="E363" s="18"/>
      <c r="F363" s="18"/>
    </row>
    <row r="364" spans="1:6" x14ac:dyDescent="0.25">
      <c r="A364" s="14">
        <v>5</v>
      </c>
      <c r="B364" s="16">
        <v>45810</v>
      </c>
      <c r="C364" s="17" t="s">
        <v>29</v>
      </c>
      <c r="D364" s="40">
        <v>750000</v>
      </c>
      <c r="E364" s="18"/>
      <c r="F364" s="18"/>
    </row>
    <row r="365" spans="1:6" x14ac:dyDescent="0.25">
      <c r="A365" s="14">
        <v>6</v>
      </c>
      <c r="B365" s="16">
        <v>45811</v>
      </c>
      <c r="C365" s="17" t="s">
        <v>27</v>
      </c>
      <c r="D365" s="40">
        <v>1420000</v>
      </c>
      <c r="E365" s="18"/>
      <c r="F365" s="18"/>
    </row>
    <row r="366" spans="1:6" x14ac:dyDescent="0.25">
      <c r="A366" s="14">
        <v>7</v>
      </c>
      <c r="B366" s="16">
        <v>45811</v>
      </c>
      <c r="C366" s="17" t="s">
        <v>31</v>
      </c>
      <c r="D366" s="40">
        <v>1275000</v>
      </c>
      <c r="E366" s="18"/>
      <c r="F366" s="18"/>
    </row>
    <row r="367" spans="1:6" x14ac:dyDescent="0.25">
      <c r="A367" s="14">
        <v>8</v>
      </c>
      <c r="B367" s="16">
        <v>45811</v>
      </c>
      <c r="C367" s="17" t="s">
        <v>45</v>
      </c>
      <c r="D367" s="40">
        <v>1295000</v>
      </c>
      <c r="E367" s="18"/>
      <c r="F367" s="18"/>
    </row>
    <row r="368" spans="1:6" x14ac:dyDescent="0.25">
      <c r="A368" s="14">
        <v>9</v>
      </c>
      <c r="B368" s="16">
        <v>45811</v>
      </c>
      <c r="C368" s="17" t="s">
        <v>28</v>
      </c>
      <c r="D368" s="40">
        <v>1295000</v>
      </c>
      <c r="E368" s="18"/>
      <c r="F368" s="18"/>
    </row>
    <row r="369" spans="1:6" x14ac:dyDescent="0.25">
      <c r="A369" s="14">
        <v>10</v>
      </c>
      <c r="B369" s="16">
        <v>45812</v>
      </c>
      <c r="C369" s="17" t="s">
        <v>90</v>
      </c>
      <c r="D369" s="40">
        <v>1295000</v>
      </c>
      <c r="E369" s="18"/>
      <c r="F369" s="18"/>
    </row>
    <row r="370" spans="1:6" x14ac:dyDescent="0.25">
      <c r="A370" s="14">
        <v>11</v>
      </c>
      <c r="B370" s="16">
        <v>45812</v>
      </c>
      <c r="C370" s="17" t="s">
        <v>40</v>
      </c>
      <c r="D370" s="40">
        <v>1375000</v>
      </c>
      <c r="E370" s="18"/>
      <c r="F370" s="18"/>
    </row>
    <row r="371" spans="1:6" x14ac:dyDescent="0.25">
      <c r="A371" s="14">
        <v>12</v>
      </c>
      <c r="B371" s="16">
        <v>45812</v>
      </c>
      <c r="C371" s="17" t="s">
        <v>260</v>
      </c>
      <c r="D371" s="40">
        <v>750000</v>
      </c>
      <c r="E371" s="18"/>
      <c r="F371" s="18"/>
    </row>
    <row r="372" spans="1:6" x14ac:dyDescent="0.25">
      <c r="A372" s="14">
        <v>13</v>
      </c>
      <c r="B372" s="16">
        <v>45812</v>
      </c>
      <c r="C372" s="17" t="s">
        <v>43</v>
      </c>
      <c r="D372" s="40">
        <v>910000</v>
      </c>
      <c r="E372" s="18"/>
      <c r="F372" s="18"/>
    </row>
    <row r="373" spans="1:6" x14ac:dyDescent="0.25">
      <c r="A373" s="14">
        <v>14</v>
      </c>
      <c r="B373" s="16">
        <v>45812</v>
      </c>
      <c r="C373" s="17" t="s">
        <v>37</v>
      </c>
      <c r="D373" s="40">
        <v>750000</v>
      </c>
      <c r="E373" s="18"/>
      <c r="F373" s="18"/>
    </row>
    <row r="374" spans="1:6" x14ac:dyDescent="0.25">
      <c r="A374" s="14">
        <v>15</v>
      </c>
      <c r="B374" s="16">
        <v>45813</v>
      </c>
      <c r="C374" s="17" t="s">
        <v>42</v>
      </c>
      <c r="D374" s="40">
        <v>1125000</v>
      </c>
      <c r="E374" s="18"/>
      <c r="F374" s="18"/>
    </row>
    <row r="375" spans="1:6" x14ac:dyDescent="0.25">
      <c r="A375" s="14">
        <v>16</v>
      </c>
      <c r="B375" s="16">
        <v>45813</v>
      </c>
      <c r="C375" s="17" t="s">
        <v>48</v>
      </c>
      <c r="D375" s="40">
        <v>750000</v>
      </c>
      <c r="E375" s="18"/>
      <c r="F375" s="18"/>
    </row>
    <row r="376" spans="1:6" x14ac:dyDescent="0.25">
      <c r="A376" s="14">
        <v>17</v>
      </c>
      <c r="B376" s="16">
        <v>45815</v>
      </c>
      <c r="C376" s="17" t="s">
        <v>36</v>
      </c>
      <c r="D376" s="40">
        <v>750000</v>
      </c>
      <c r="E376" s="18"/>
      <c r="F376" s="18"/>
    </row>
    <row r="377" spans="1:6" x14ac:dyDescent="0.25">
      <c r="A377" s="14">
        <v>18</v>
      </c>
      <c r="B377" s="16">
        <v>45817</v>
      </c>
      <c r="C377" s="17" t="s">
        <v>35</v>
      </c>
      <c r="D377" s="40">
        <v>900000</v>
      </c>
      <c r="E377" s="18"/>
      <c r="F377" s="18"/>
    </row>
    <row r="378" spans="1:6" x14ac:dyDescent="0.25">
      <c r="A378" s="14">
        <v>19</v>
      </c>
      <c r="B378" s="16">
        <v>45818</v>
      </c>
      <c r="C378" s="17" t="s">
        <v>89</v>
      </c>
      <c r="D378" s="40">
        <v>1355000</v>
      </c>
      <c r="E378" s="18"/>
      <c r="F378" s="18"/>
    </row>
    <row r="379" spans="1:6" x14ac:dyDescent="0.25">
      <c r="A379" s="14">
        <v>20</v>
      </c>
      <c r="B379" s="16">
        <v>45819</v>
      </c>
      <c r="C379" s="19" t="s">
        <v>127</v>
      </c>
      <c r="D379" s="18">
        <v>750000</v>
      </c>
      <c r="E379" s="18"/>
      <c r="F379" s="18"/>
    </row>
    <row r="380" spans="1:6" x14ac:dyDescent="0.25">
      <c r="A380" s="14">
        <v>21</v>
      </c>
      <c r="B380" s="16">
        <v>45819</v>
      </c>
      <c r="C380" s="19" t="s">
        <v>25</v>
      </c>
      <c r="D380" s="18">
        <v>750000</v>
      </c>
      <c r="E380" s="18"/>
      <c r="F380" s="18"/>
    </row>
    <row r="381" spans="1:6" x14ac:dyDescent="0.25">
      <c r="A381" s="14">
        <v>22</v>
      </c>
      <c r="B381" s="16">
        <v>45820</v>
      </c>
      <c r="C381" s="19" t="s">
        <v>261</v>
      </c>
      <c r="D381" s="18">
        <v>1265000</v>
      </c>
      <c r="E381" s="18"/>
      <c r="F381" s="18"/>
    </row>
    <row r="382" spans="1:6" x14ac:dyDescent="0.25">
      <c r="A382" s="14">
        <v>23</v>
      </c>
      <c r="B382" s="16">
        <v>45821</v>
      </c>
      <c r="C382" s="17" t="s">
        <v>47</v>
      </c>
      <c r="D382" s="40">
        <v>750000</v>
      </c>
      <c r="E382" s="18"/>
      <c r="F382" s="18"/>
    </row>
    <row r="383" spans="1:6" x14ac:dyDescent="0.25">
      <c r="A383" s="14">
        <v>24</v>
      </c>
      <c r="B383" s="16">
        <v>45821</v>
      </c>
      <c r="C383" s="17" t="s">
        <v>129</v>
      </c>
      <c r="D383" s="40">
        <v>425000</v>
      </c>
      <c r="E383" s="18"/>
      <c r="F383" s="18"/>
    </row>
    <row r="384" spans="1:6" x14ac:dyDescent="0.25">
      <c r="A384" s="14">
        <v>25</v>
      </c>
      <c r="B384" s="16">
        <v>45824</v>
      </c>
      <c r="C384" s="17" t="s">
        <v>33</v>
      </c>
      <c r="D384" s="40">
        <v>675000</v>
      </c>
      <c r="E384" s="18"/>
      <c r="F384" s="18"/>
    </row>
    <row r="385" spans="1:6" x14ac:dyDescent="0.25">
      <c r="A385" s="14">
        <v>26</v>
      </c>
      <c r="B385" s="16">
        <v>45827</v>
      </c>
      <c r="C385" s="17" t="s">
        <v>262</v>
      </c>
      <c r="D385" s="40">
        <v>1100000</v>
      </c>
      <c r="E385" s="18"/>
      <c r="F385" s="18"/>
    </row>
    <row r="386" spans="1:6" x14ac:dyDescent="0.25">
      <c r="A386" s="14">
        <v>27</v>
      </c>
      <c r="B386" s="16">
        <v>45836</v>
      </c>
      <c r="C386" s="19" t="s">
        <v>78</v>
      </c>
      <c r="D386" s="18">
        <v>1125000</v>
      </c>
      <c r="E386" s="18"/>
      <c r="F386" s="18"/>
    </row>
    <row r="387" spans="1:6" x14ac:dyDescent="0.25">
      <c r="A387" s="14">
        <v>28</v>
      </c>
      <c r="B387" s="16">
        <v>45838</v>
      </c>
      <c r="C387" s="19" t="s">
        <v>46</v>
      </c>
      <c r="D387" s="18">
        <v>1125000</v>
      </c>
      <c r="E387" s="18"/>
      <c r="F387" s="18"/>
    </row>
    <row r="388" spans="1:6" x14ac:dyDescent="0.25">
      <c r="A388" s="14">
        <v>29</v>
      </c>
      <c r="B388" s="16">
        <v>45838</v>
      </c>
      <c r="C388" s="19" t="s">
        <v>263</v>
      </c>
      <c r="D388" s="18">
        <v>625000</v>
      </c>
      <c r="E388" s="18"/>
      <c r="F388" s="18"/>
    </row>
    <row r="389" spans="1:6" x14ac:dyDescent="0.25">
      <c r="A389" s="14">
        <v>30</v>
      </c>
      <c r="B389" s="16">
        <v>45838</v>
      </c>
      <c r="C389" s="19" t="s">
        <v>264</v>
      </c>
      <c r="D389" s="18">
        <v>1100000</v>
      </c>
      <c r="E389" s="18"/>
      <c r="F389" s="18"/>
    </row>
    <row r="390" spans="1:6" x14ac:dyDescent="0.25">
      <c r="A390" s="14">
        <v>31</v>
      </c>
      <c r="B390" s="16">
        <v>45838</v>
      </c>
      <c r="C390" s="19" t="s">
        <v>265</v>
      </c>
      <c r="D390" s="18">
        <v>1100000</v>
      </c>
      <c r="E390" s="18"/>
      <c r="F390" s="18"/>
    </row>
    <row r="391" spans="1:6" x14ac:dyDescent="0.25">
      <c r="A391" s="14"/>
      <c r="B391" s="97"/>
      <c r="C391" s="20" t="s">
        <v>132</v>
      </c>
      <c r="D391" s="18"/>
      <c r="E391" s="18"/>
      <c r="F391" s="18"/>
    </row>
    <row r="392" spans="1:6" ht="15.75" x14ac:dyDescent="0.25">
      <c r="A392" s="14">
        <v>32</v>
      </c>
      <c r="B392" s="16">
        <v>45809</v>
      </c>
      <c r="C392" s="21" t="s">
        <v>50</v>
      </c>
      <c r="D392" s="18"/>
      <c r="E392" s="18">
        <v>1450000</v>
      </c>
      <c r="F392" s="18"/>
    </row>
    <row r="393" spans="1:6" ht="15.75" x14ac:dyDescent="0.25">
      <c r="A393" s="14">
        <v>33</v>
      </c>
      <c r="B393" s="16"/>
      <c r="C393" s="21" t="s">
        <v>51</v>
      </c>
      <c r="D393" s="18"/>
      <c r="E393" s="18">
        <v>1450000</v>
      </c>
      <c r="F393" s="18"/>
    </row>
    <row r="394" spans="1:6" ht="15.75" x14ac:dyDescent="0.25">
      <c r="A394" s="14">
        <v>34</v>
      </c>
      <c r="B394" s="16"/>
      <c r="C394" s="21" t="s">
        <v>52</v>
      </c>
      <c r="D394" s="18"/>
      <c r="E394" s="18">
        <v>700000</v>
      </c>
      <c r="F394" s="18"/>
    </row>
    <row r="395" spans="1:6" ht="15.75" x14ac:dyDescent="0.25">
      <c r="A395" s="14">
        <v>35</v>
      </c>
      <c r="B395" s="14"/>
      <c r="C395" s="21" t="s">
        <v>53</v>
      </c>
      <c r="D395" s="18"/>
      <c r="E395" s="18">
        <v>1350000</v>
      </c>
      <c r="F395" s="18"/>
    </row>
    <row r="396" spans="1:6" ht="15.75" x14ac:dyDescent="0.25">
      <c r="A396" s="14">
        <v>36</v>
      </c>
      <c r="B396" s="14"/>
      <c r="C396" s="21" t="s">
        <v>133</v>
      </c>
      <c r="D396" s="40"/>
      <c r="E396" s="40">
        <v>100000</v>
      </c>
      <c r="F396" s="18"/>
    </row>
    <row r="397" spans="1:6" ht="15.75" x14ac:dyDescent="0.25">
      <c r="A397" s="14">
        <v>37</v>
      </c>
      <c r="B397" s="14"/>
      <c r="C397" s="21" t="s">
        <v>55</v>
      </c>
      <c r="D397" s="40"/>
      <c r="E397" s="40">
        <v>667500</v>
      </c>
      <c r="F397" s="18"/>
    </row>
    <row r="398" spans="1:6" ht="15.75" x14ac:dyDescent="0.25">
      <c r="A398" s="14">
        <v>38</v>
      </c>
      <c r="B398" s="14"/>
      <c r="C398" s="21" t="s">
        <v>56</v>
      </c>
      <c r="D398" s="40"/>
      <c r="E398" s="40">
        <v>1280000</v>
      </c>
      <c r="F398" s="18"/>
    </row>
    <row r="399" spans="1:6" ht="15.75" x14ac:dyDescent="0.25">
      <c r="A399" s="14">
        <v>39</v>
      </c>
      <c r="B399" s="14"/>
      <c r="C399" s="21" t="s">
        <v>266</v>
      </c>
      <c r="D399" s="18"/>
      <c r="E399" s="18">
        <v>40000</v>
      </c>
      <c r="F399" s="18"/>
    </row>
    <row r="400" spans="1:6" ht="15.75" x14ac:dyDescent="0.25">
      <c r="A400" s="14">
        <v>40</v>
      </c>
      <c r="B400" s="14"/>
      <c r="C400" s="21" t="s">
        <v>267</v>
      </c>
      <c r="D400" s="18"/>
      <c r="E400" s="18">
        <v>502500</v>
      </c>
      <c r="F400" s="18"/>
    </row>
    <row r="401" spans="1:6" ht="15.75" x14ac:dyDescent="0.25">
      <c r="A401" s="14">
        <v>41</v>
      </c>
      <c r="B401" s="14"/>
      <c r="C401" s="21" t="s">
        <v>268</v>
      </c>
      <c r="D401" s="18"/>
      <c r="E401" s="18">
        <v>12000000</v>
      </c>
      <c r="F401" s="18"/>
    </row>
    <row r="402" spans="1:6" ht="15.75" x14ac:dyDescent="0.25">
      <c r="A402" s="14">
        <v>42</v>
      </c>
      <c r="B402" s="16">
        <v>45810</v>
      </c>
      <c r="C402" s="21" t="s">
        <v>269</v>
      </c>
      <c r="D402" s="18"/>
      <c r="E402" s="18">
        <v>10000000</v>
      </c>
      <c r="F402" s="18"/>
    </row>
    <row r="403" spans="1:6" ht="15.75" x14ac:dyDescent="0.25">
      <c r="A403" s="14">
        <v>43</v>
      </c>
      <c r="B403" s="14"/>
      <c r="C403" s="21" t="s">
        <v>270</v>
      </c>
      <c r="D403" s="18"/>
      <c r="E403" s="18">
        <v>37000</v>
      </c>
      <c r="F403" s="18"/>
    </row>
    <row r="404" spans="1:6" ht="15.75" x14ac:dyDescent="0.25">
      <c r="A404" s="14">
        <v>44</v>
      </c>
      <c r="B404" s="14"/>
      <c r="C404" s="21" t="s">
        <v>271</v>
      </c>
      <c r="D404" s="18"/>
      <c r="E404" s="18">
        <v>75000</v>
      </c>
      <c r="F404" s="18"/>
    </row>
    <row r="405" spans="1:6" ht="15.75" x14ac:dyDescent="0.25">
      <c r="A405" s="14">
        <v>45</v>
      </c>
      <c r="B405" s="14"/>
      <c r="C405" s="21" t="s">
        <v>272</v>
      </c>
      <c r="D405" s="18"/>
      <c r="E405" s="18">
        <v>135000</v>
      </c>
      <c r="F405" s="18"/>
    </row>
    <row r="406" spans="1:6" ht="15.75" x14ac:dyDescent="0.25">
      <c r="A406" s="14">
        <v>46</v>
      </c>
      <c r="B406" s="14"/>
      <c r="C406" s="21" t="s">
        <v>273</v>
      </c>
      <c r="D406" s="18"/>
      <c r="E406" s="18">
        <v>15000</v>
      </c>
      <c r="F406" s="18"/>
    </row>
    <row r="407" spans="1:6" ht="15.75" x14ac:dyDescent="0.25">
      <c r="A407" s="14">
        <v>47</v>
      </c>
      <c r="B407" s="16">
        <v>45811</v>
      </c>
      <c r="C407" s="21" t="s">
        <v>274</v>
      </c>
      <c r="D407" s="18"/>
      <c r="E407" s="18">
        <v>15000000</v>
      </c>
      <c r="F407" s="18"/>
    </row>
    <row r="408" spans="1:6" ht="15.75" x14ac:dyDescent="0.25">
      <c r="A408" s="14">
        <v>48</v>
      </c>
      <c r="B408" s="14"/>
      <c r="C408" s="21" t="s">
        <v>271</v>
      </c>
      <c r="D408" s="18"/>
      <c r="E408" s="18">
        <v>75000</v>
      </c>
      <c r="F408" s="18"/>
    </row>
    <row r="409" spans="1:6" ht="15.75" x14ac:dyDescent="0.25">
      <c r="A409" s="14">
        <v>49</v>
      </c>
      <c r="B409" s="14"/>
      <c r="C409" s="21" t="s">
        <v>270</v>
      </c>
      <c r="D409" s="18"/>
      <c r="E409" s="18">
        <v>37000</v>
      </c>
      <c r="F409" s="18"/>
    </row>
    <row r="410" spans="1:6" ht="15.75" x14ac:dyDescent="0.25">
      <c r="A410" s="14">
        <v>50</v>
      </c>
      <c r="B410" s="14"/>
      <c r="C410" s="21" t="s">
        <v>275</v>
      </c>
      <c r="D410" s="18"/>
      <c r="E410" s="18">
        <v>29600</v>
      </c>
      <c r="F410" s="18"/>
    </row>
    <row r="411" spans="1:6" ht="15.75" x14ac:dyDescent="0.25">
      <c r="A411" s="14">
        <v>51</v>
      </c>
      <c r="B411" s="14"/>
      <c r="C411" s="21" t="s">
        <v>276</v>
      </c>
      <c r="D411" s="18"/>
      <c r="E411" s="18">
        <v>31500</v>
      </c>
      <c r="F411" s="18"/>
    </row>
    <row r="412" spans="1:6" ht="15.75" x14ac:dyDescent="0.25">
      <c r="A412" s="14">
        <v>52</v>
      </c>
      <c r="B412" s="14"/>
      <c r="C412" s="21" t="s">
        <v>277</v>
      </c>
      <c r="D412" s="18"/>
      <c r="E412" s="18">
        <v>28000</v>
      </c>
      <c r="F412" s="18"/>
    </row>
    <row r="413" spans="1:6" ht="15.75" x14ac:dyDescent="0.25">
      <c r="A413" s="14">
        <v>53</v>
      </c>
      <c r="B413" s="14"/>
      <c r="C413" s="21" t="s">
        <v>278</v>
      </c>
      <c r="D413" s="18"/>
      <c r="E413" s="18">
        <v>44000</v>
      </c>
      <c r="F413" s="18"/>
    </row>
    <row r="414" spans="1:6" ht="15.75" x14ac:dyDescent="0.25">
      <c r="A414" s="14">
        <v>54</v>
      </c>
      <c r="B414" s="14"/>
      <c r="C414" s="21" t="s">
        <v>279</v>
      </c>
      <c r="D414" s="18"/>
      <c r="E414" s="18">
        <v>5000000</v>
      </c>
      <c r="F414" s="18"/>
    </row>
    <row r="415" spans="1:6" ht="15.75" x14ac:dyDescent="0.25">
      <c r="A415" s="14">
        <v>55</v>
      </c>
      <c r="B415" s="14"/>
      <c r="C415" s="21" t="s">
        <v>280</v>
      </c>
      <c r="D415" s="18"/>
      <c r="E415" s="18">
        <v>17000</v>
      </c>
      <c r="F415" s="18"/>
    </row>
    <row r="416" spans="1:6" ht="15.75" x14ac:dyDescent="0.25">
      <c r="A416" s="14">
        <v>56</v>
      </c>
      <c r="B416" s="16">
        <v>45820</v>
      </c>
      <c r="C416" s="21" t="s">
        <v>281</v>
      </c>
      <c r="D416" s="18"/>
      <c r="E416" s="18">
        <v>360000</v>
      </c>
      <c r="F416" s="18"/>
    </row>
    <row r="417" spans="1:6" ht="15.75" x14ac:dyDescent="0.25">
      <c r="A417" s="14">
        <v>57</v>
      </c>
      <c r="B417" s="14"/>
      <c r="C417" s="21" t="s">
        <v>282</v>
      </c>
      <c r="D417" s="18"/>
      <c r="E417" s="18">
        <v>5363000</v>
      </c>
      <c r="F417" s="18"/>
    </row>
    <row r="418" spans="1:6" ht="15.75" x14ac:dyDescent="0.25">
      <c r="A418" s="14">
        <v>58</v>
      </c>
      <c r="B418" s="14"/>
      <c r="C418" s="21" t="s">
        <v>283</v>
      </c>
      <c r="D418" s="18"/>
      <c r="E418" s="18">
        <v>70000</v>
      </c>
      <c r="F418" s="18"/>
    </row>
    <row r="419" spans="1:6" ht="15.75" x14ac:dyDescent="0.25">
      <c r="A419" s="14">
        <v>59</v>
      </c>
      <c r="B419" s="14"/>
      <c r="C419" s="21" t="s">
        <v>284</v>
      </c>
      <c r="D419" s="18"/>
      <c r="E419" s="18">
        <v>100000</v>
      </c>
      <c r="F419" s="18"/>
    </row>
    <row r="420" spans="1:6" ht="15.75" x14ac:dyDescent="0.25">
      <c r="A420" s="22">
        <v>60</v>
      </c>
      <c r="B420" s="22"/>
      <c r="C420" s="24" t="s">
        <v>144</v>
      </c>
      <c r="D420" s="25"/>
      <c r="E420" s="25">
        <v>150000</v>
      </c>
      <c r="F420" s="25"/>
    </row>
    <row r="421" spans="1:6" ht="15.75" x14ac:dyDescent="0.25">
      <c r="A421" s="22">
        <v>61</v>
      </c>
      <c r="B421" s="95"/>
      <c r="C421" s="24" t="s">
        <v>285</v>
      </c>
      <c r="D421" s="56"/>
      <c r="E421" s="25">
        <v>1472000</v>
      </c>
      <c r="F421" s="28"/>
    </row>
    <row r="422" spans="1:6" ht="15.75" x14ac:dyDescent="0.25">
      <c r="A422" s="29"/>
      <c r="B422" s="96"/>
      <c r="C422" s="52" t="s">
        <v>286</v>
      </c>
      <c r="D422" s="57"/>
      <c r="E422" s="32"/>
      <c r="F422" s="33"/>
    </row>
    <row r="423" spans="1:6" ht="15.75" x14ac:dyDescent="0.25">
      <c r="A423" s="29">
        <v>62</v>
      </c>
      <c r="B423" s="29"/>
      <c r="C423" s="52" t="s">
        <v>287</v>
      </c>
      <c r="D423" s="32"/>
      <c r="E423" s="32">
        <v>16000</v>
      </c>
      <c r="F423" s="32"/>
    </row>
    <row r="424" spans="1:6" ht="15.75" x14ac:dyDescent="0.25">
      <c r="A424" s="14">
        <v>63</v>
      </c>
      <c r="B424" s="14"/>
      <c r="C424" s="21" t="s">
        <v>288</v>
      </c>
      <c r="D424" s="18"/>
      <c r="E424" s="18">
        <v>20000000</v>
      </c>
      <c r="F424" s="18"/>
    </row>
    <row r="425" spans="1:6" ht="15.75" x14ac:dyDescent="0.25">
      <c r="A425" s="29">
        <v>64</v>
      </c>
      <c r="B425" s="14"/>
      <c r="C425" s="21" t="s">
        <v>289</v>
      </c>
      <c r="D425" s="18"/>
      <c r="E425" s="18">
        <v>35000</v>
      </c>
      <c r="F425" s="18"/>
    </row>
    <row r="426" spans="1:6" ht="15.75" x14ac:dyDescent="0.25">
      <c r="A426" s="14">
        <v>65</v>
      </c>
      <c r="B426" s="16">
        <v>46196</v>
      </c>
      <c r="C426" s="21" t="s">
        <v>271</v>
      </c>
      <c r="D426" s="18"/>
      <c r="E426" s="18">
        <v>79000</v>
      </c>
      <c r="F426" s="18"/>
    </row>
    <row r="427" spans="1:6" ht="15.75" x14ac:dyDescent="0.25">
      <c r="A427" s="29">
        <v>66</v>
      </c>
      <c r="B427" s="14"/>
      <c r="C427" s="21" t="s">
        <v>290</v>
      </c>
      <c r="D427" s="18"/>
      <c r="E427" s="18">
        <v>150000</v>
      </c>
      <c r="F427" s="18"/>
    </row>
    <row r="428" spans="1:6" ht="15.75" x14ac:dyDescent="0.25">
      <c r="A428" s="14">
        <v>67</v>
      </c>
      <c r="B428" s="16">
        <v>46197</v>
      </c>
      <c r="C428" s="21" t="s">
        <v>291</v>
      </c>
      <c r="D428" s="18"/>
      <c r="E428" s="18">
        <v>980000</v>
      </c>
      <c r="F428" s="18"/>
    </row>
    <row r="429" spans="1:6" ht="15.75" x14ac:dyDescent="0.25">
      <c r="A429" s="29">
        <v>68</v>
      </c>
      <c r="B429" s="14"/>
      <c r="C429" s="21" t="s">
        <v>292</v>
      </c>
      <c r="D429" s="18"/>
      <c r="E429" s="18">
        <v>320000</v>
      </c>
      <c r="F429" s="18"/>
    </row>
    <row r="430" spans="1:6" ht="15.75" x14ac:dyDescent="0.25">
      <c r="A430" s="14">
        <v>69</v>
      </c>
      <c r="B430" s="14"/>
      <c r="C430" s="21" t="s">
        <v>293</v>
      </c>
      <c r="D430" s="18"/>
      <c r="E430" s="18">
        <v>330000</v>
      </c>
      <c r="F430" s="18"/>
    </row>
    <row r="431" spans="1:6" ht="15.75" x14ac:dyDescent="0.25">
      <c r="A431" s="29">
        <v>70</v>
      </c>
      <c r="B431" s="14"/>
      <c r="C431" s="21" t="s">
        <v>294</v>
      </c>
      <c r="D431" s="18"/>
      <c r="E431" s="18">
        <v>270000</v>
      </c>
      <c r="F431" s="18"/>
    </row>
    <row r="432" spans="1:6" ht="15.75" x14ac:dyDescent="0.25">
      <c r="A432" s="14">
        <v>71</v>
      </c>
      <c r="B432" s="16">
        <v>45834</v>
      </c>
      <c r="C432" s="21" t="s">
        <v>295</v>
      </c>
      <c r="D432" s="18"/>
      <c r="E432" s="18">
        <v>36000</v>
      </c>
      <c r="F432" s="18"/>
    </row>
    <row r="433" spans="1:6" ht="15.75" x14ac:dyDescent="0.25">
      <c r="A433" s="29">
        <v>72</v>
      </c>
      <c r="B433" s="16">
        <v>45834</v>
      </c>
      <c r="C433" s="21" t="s">
        <v>296</v>
      </c>
      <c r="D433" s="18"/>
      <c r="E433" s="18">
        <v>60000</v>
      </c>
      <c r="F433" s="18"/>
    </row>
    <row r="434" spans="1:6" ht="15.75" x14ac:dyDescent="0.25">
      <c r="A434" s="14">
        <v>73</v>
      </c>
      <c r="B434" s="16">
        <v>45835</v>
      </c>
      <c r="C434" s="21" t="s">
        <v>296</v>
      </c>
      <c r="D434" s="18"/>
      <c r="E434" s="18">
        <v>65000</v>
      </c>
      <c r="F434" s="18"/>
    </row>
    <row r="435" spans="1:6" ht="15.75" x14ac:dyDescent="0.25">
      <c r="A435" s="29">
        <v>74</v>
      </c>
      <c r="B435" s="16">
        <v>45837</v>
      </c>
      <c r="C435" s="21" t="s">
        <v>297</v>
      </c>
      <c r="D435" s="18"/>
      <c r="E435" s="18">
        <v>152000</v>
      </c>
      <c r="F435" s="18"/>
    </row>
    <row r="436" spans="1:6" ht="15.75" x14ac:dyDescent="0.25">
      <c r="A436" s="14">
        <v>75</v>
      </c>
      <c r="B436" s="16"/>
      <c r="C436" s="21" t="s">
        <v>298</v>
      </c>
      <c r="D436" s="18"/>
      <c r="E436" s="18">
        <v>12000</v>
      </c>
      <c r="F436" s="18"/>
    </row>
    <row r="437" spans="1:6" ht="15.75" x14ac:dyDescent="0.25">
      <c r="A437" s="29">
        <v>76</v>
      </c>
      <c r="B437" s="16"/>
      <c r="C437" s="21" t="s">
        <v>299</v>
      </c>
      <c r="D437" s="18"/>
      <c r="E437" s="18">
        <v>115000</v>
      </c>
      <c r="F437" s="18"/>
    </row>
    <row r="438" spans="1:6" ht="15.75" x14ac:dyDescent="0.25">
      <c r="A438" s="14">
        <v>77</v>
      </c>
      <c r="B438" s="16"/>
      <c r="C438" s="21" t="s">
        <v>300</v>
      </c>
      <c r="D438" s="18"/>
      <c r="E438" s="18">
        <v>50000</v>
      </c>
      <c r="F438" s="18"/>
    </row>
    <row r="439" spans="1:6" ht="15.75" x14ac:dyDescent="0.25">
      <c r="A439" s="29">
        <v>78</v>
      </c>
      <c r="B439" s="16">
        <v>45838</v>
      </c>
      <c r="C439" s="21" t="s">
        <v>301</v>
      </c>
      <c r="D439" s="18"/>
      <c r="E439" s="18">
        <v>22000</v>
      </c>
      <c r="F439" s="18"/>
    </row>
    <row r="440" spans="1:6" ht="15.75" x14ac:dyDescent="0.25">
      <c r="A440" s="14">
        <v>79</v>
      </c>
      <c r="B440" s="14"/>
      <c r="C440" s="21" t="s">
        <v>302</v>
      </c>
      <c r="D440" s="18"/>
      <c r="E440" s="18">
        <v>384000</v>
      </c>
      <c r="F440" s="18"/>
    </row>
    <row r="441" spans="1:6" ht="15.75" x14ac:dyDescent="0.25">
      <c r="A441" s="29">
        <v>80</v>
      </c>
      <c r="B441" s="14"/>
      <c r="C441" s="21" t="s">
        <v>303</v>
      </c>
      <c r="D441" s="18"/>
      <c r="E441" s="18">
        <v>160000</v>
      </c>
      <c r="F441" s="18"/>
    </row>
    <row r="442" spans="1:6" ht="15.75" x14ac:dyDescent="0.25">
      <c r="A442" s="14">
        <v>81</v>
      </c>
      <c r="B442" s="14"/>
      <c r="C442" s="21" t="s">
        <v>304</v>
      </c>
      <c r="D442" s="18"/>
      <c r="E442" s="18">
        <v>390000</v>
      </c>
      <c r="F442" s="18"/>
    </row>
    <row r="443" spans="1:6" ht="15.75" x14ac:dyDescent="0.25">
      <c r="A443" s="29">
        <v>82</v>
      </c>
      <c r="B443" s="14"/>
      <c r="C443" s="21" t="s">
        <v>305</v>
      </c>
      <c r="D443" s="18"/>
      <c r="E443" s="18">
        <v>320000</v>
      </c>
      <c r="F443" s="18"/>
    </row>
    <row r="444" spans="1:6" ht="15.75" x14ac:dyDescent="0.25">
      <c r="A444" s="14">
        <v>83</v>
      </c>
      <c r="B444" s="14"/>
      <c r="C444" s="21" t="s">
        <v>306</v>
      </c>
      <c r="D444" s="18"/>
      <c r="E444" s="18">
        <v>290000</v>
      </c>
      <c r="F444" s="18"/>
    </row>
    <row r="445" spans="1:6" ht="15.75" x14ac:dyDescent="0.25">
      <c r="A445" s="29">
        <v>84</v>
      </c>
      <c r="B445" s="14"/>
      <c r="C445" s="21" t="s">
        <v>307</v>
      </c>
      <c r="D445" s="18"/>
      <c r="E445" s="18">
        <v>205000</v>
      </c>
      <c r="F445" s="18"/>
    </row>
    <row r="446" spans="1:6" ht="15.75" x14ac:dyDescent="0.25">
      <c r="A446" s="14"/>
      <c r="B446" s="14"/>
      <c r="C446" s="21"/>
      <c r="D446" s="18"/>
      <c r="E446" s="18"/>
      <c r="F446" s="18"/>
    </row>
    <row r="447" spans="1:6" x14ac:dyDescent="0.25">
      <c r="A447" s="42"/>
      <c r="B447" s="42"/>
      <c r="C447" s="35" t="s">
        <v>71</v>
      </c>
      <c r="D447" s="36">
        <f>SUM(D360:D446)</f>
        <v>32435000</v>
      </c>
      <c r="E447" s="36">
        <f>SUM(E360:E446)</f>
        <v>82020100</v>
      </c>
      <c r="F447" s="36">
        <f>D447-E447</f>
        <v>-49585100</v>
      </c>
    </row>
    <row r="448" spans="1:6" x14ac:dyDescent="0.25">
      <c r="A448" s="112"/>
      <c r="B448" s="112"/>
      <c r="D448" s="38"/>
      <c r="E448" s="38"/>
      <c r="F448" s="38"/>
    </row>
    <row r="449" spans="1:6" x14ac:dyDescent="0.25">
      <c r="A449" s="112"/>
      <c r="B449" s="112"/>
      <c r="D449" s="137" t="s">
        <v>308</v>
      </c>
      <c r="E449" s="137"/>
      <c r="F449" s="137"/>
    </row>
    <row r="450" spans="1:6" x14ac:dyDescent="0.25">
      <c r="A450" s="133" t="s">
        <v>73</v>
      </c>
      <c r="B450" s="133"/>
      <c r="C450" s="133"/>
      <c r="D450" s="137" t="s">
        <v>74</v>
      </c>
      <c r="E450" s="137"/>
      <c r="F450" s="137"/>
    </row>
    <row r="451" spans="1:6" x14ac:dyDescent="0.25">
      <c r="A451" s="112"/>
      <c r="B451" s="112"/>
      <c r="D451" s="38"/>
      <c r="E451" s="38"/>
      <c r="F451" s="38"/>
    </row>
    <row r="452" spans="1:6" x14ac:dyDescent="0.25">
      <c r="A452" s="112"/>
      <c r="B452" s="112"/>
      <c r="D452" s="38"/>
      <c r="E452" s="38"/>
      <c r="F452" s="38"/>
    </row>
    <row r="453" spans="1:6" x14ac:dyDescent="0.25">
      <c r="A453" s="133" t="s">
        <v>75</v>
      </c>
      <c r="B453" s="133"/>
      <c r="C453" s="133"/>
      <c r="D453" s="137" t="s">
        <v>76</v>
      </c>
      <c r="E453" s="137"/>
      <c r="F453" s="137"/>
    </row>
    <row r="454" spans="1:6" x14ac:dyDescent="0.25">
      <c r="A454" s="112"/>
      <c r="B454" s="112"/>
      <c r="D454" s="38"/>
      <c r="E454" s="38"/>
      <c r="F454" s="38"/>
    </row>
    <row r="455" spans="1:6" x14ac:dyDescent="0.25">
      <c r="A455" s="112"/>
      <c r="B455" s="112"/>
      <c r="D455" s="38"/>
      <c r="E455" s="38"/>
      <c r="F455" s="38"/>
    </row>
    <row r="456" spans="1:6" ht="15.75" x14ac:dyDescent="0.25">
      <c r="A456" s="138" t="s">
        <v>19</v>
      </c>
      <c r="B456" s="139"/>
      <c r="C456" s="139"/>
      <c r="D456" s="139"/>
      <c r="E456" s="139"/>
      <c r="F456" s="140"/>
    </row>
    <row r="457" spans="1:6" ht="15.75" x14ac:dyDescent="0.25">
      <c r="A457" s="141" t="s">
        <v>309</v>
      </c>
      <c r="B457" s="142"/>
      <c r="C457" s="142"/>
      <c r="D457" s="142"/>
      <c r="E457" s="142"/>
      <c r="F457" s="143"/>
    </row>
    <row r="458" spans="1:6" x14ac:dyDescent="0.25">
      <c r="A458" s="14" t="s">
        <v>1</v>
      </c>
      <c r="B458" s="14" t="s">
        <v>21</v>
      </c>
      <c r="C458" s="14" t="s">
        <v>22</v>
      </c>
      <c r="D458" s="15" t="s">
        <v>23</v>
      </c>
      <c r="E458" s="15" t="s">
        <v>24</v>
      </c>
      <c r="F458" s="15" t="s">
        <v>5</v>
      </c>
    </row>
    <row r="459" spans="1:6" x14ac:dyDescent="0.25">
      <c r="A459" s="14">
        <v>1</v>
      </c>
      <c r="B459" s="16">
        <v>45839</v>
      </c>
      <c r="C459" s="17" t="s">
        <v>32</v>
      </c>
      <c r="D459" s="40">
        <v>1125000</v>
      </c>
      <c r="E459" s="18"/>
      <c r="F459" s="18"/>
    </row>
    <row r="460" spans="1:6" x14ac:dyDescent="0.25">
      <c r="A460" s="14">
        <v>2</v>
      </c>
      <c r="B460" s="16">
        <v>45839</v>
      </c>
      <c r="C460" s="61" t="s">
        <v>31</v>
      </c>
      <c r="D460" s="15">
        <v>890000</v>
      </c>
      <c r="E460" s="18"/>
      <c r="F460" s="18"/>
    </row>
    <row r="461" spans="1:6" x14ac:dyDescent="0.25">
      <c r="A461" s="14">
        <v>3</v>
      </c>
      <c r="B461" s="16">
        <v>45839</v>
      </c>
      <c r="C461" s="17" t="s">
        <v>27</v>
      </c>
      <c r="D461" s="40">
        <v>2250000</v>
      </c>
      <c r="E461" s="18"/>
      <c r="F461" s="18"/>
    </row>
    <row r="462" spans="1:6" x14ac:dyDescent="0.25">
      <c r="A462" s="14">
        <v>4</v>
      </c>
      <c r="B462" s="16">
        <v>45839</v>
      </c>
      <c r="C462" s="17" t="s">
        <v>34</v>
      </c>
      <c r="D462" s="40">
        <v>1375000</v>
      </c>
      <c r="E462" s="18"/>
      <c r="F462" s="18"/>
    </row>
    <row r="463" spans="1:6" x14ac:dyDescent="0.25">
      <c r="A463" s="14">
        <v>5</v>
      </c>
      <c r="B463" s="16">
        <v>45839</v>
      </c>
      <c r="C463" s="17" t="s">
        <v>27</v>
      </c>
      <c r="D463" s="40">
        <v>140000</v>
      </c>
      <c r="E463" s="18"/>
      <c r="F463" s="18"/>
    </row>
    <row r="464" spans="1:6" x14ac:dyDescent="0.25">
      <c r="A464" s="14">
        <v>6</v>
      </c>
      <c r="B464" s="16">
        <v>45839</v>
      </c>
      <c r="C464" s="17" t="s">
        <v>310</v>
      </c>
      <c r="D464" s="40">
        <v>1725000</v>
      </c>
      <c r="E464" s="18"/>
      <c r="F464" s="18"/>
    </row>
    <row r="465" spans="1:6" x14ac:dyDescent="0.25">
      <c r="A465" s="14">
        <v>7</v>
      </c>
      <c r="B465" s="16">
        <v>45839</v>
      </c>
      <c r="C465" s="17" t="s">
        <v>311</v>
      </c>
      <c r="D465" s="40">
        <v>1475000</v>
      </c>
      <c r="E465" s="18"/>
      <c r="F465" s="18"/>
    </row>
    <row r="466" spans="1:6" x14ac:dyDescent="0.25">
      <c r="A466" s="14">
        <v>8</v>
      </c>
      <c r="B466" s="16">
        <v>45840</v>
      </c>
      <c r="C466" s="17" t="s">
        <v>28</v>
      </c>
      <c r="D466" s="40">
        <v>1265000</v>
      </c>
      <c r="E466" s="18"/>
      <c r="F466" s="18"/>
    </row>
    <row r="467" spans="1:6" x14ac:dyDescent="0.25">
      <c r="A467" s="14">
        <v>9</v>
      </c>
      <c r="B467" s="16">
        <v>45840</v>
      </c>
      <c r="C467" s="17" t="s">
        <v>45</v>
      </c>
      <c r="D467" s="40">
        <v>1245000</v>
      </c>
      <c r="E467" s="18"/>
      <c r="F467" s="18"/>
    </row>
    <row r="468" spans="1:6" x14ac:dyDescent="0.25">
      <c r="A468" s="14">
        <v>10</v>
      </c>
      <c r="B468" s="16">
        <v>45842</v>
      </c>
      <c r="C468" s="17" t="s">
        <v>99</v>
      </c>
      <c r="D468" s="40">
        <v>775000</v>
      </c>
      <c r="E468" s="18"/>
      <c r="F468" s="18"/>
    </row>
    <row r="469" spans="1:6" x14ac:dyDescent="0.25">
      <c r="A469" s="14">
        <v>11</v>
      </c>
      <c r="B469" s="16">
        <v>45842</v>
      </c>
      <c r="C469" s="17" t="s">
        <v>33</v>
      </c>
      <c r="D469" s="40">
        <v>625000</v>
      </c>
      <c r="E469" s="18"/>
      <c r="F469" s="18"/>
    </row>
    <row r="470" spans="1:6" x14ac:dyDescent="0.25">
      <c r="A470" s="14">
        <v>12</v>
      </c>
      <c r="B470" s="16">
        <v>45843</v>
      </c>
      <c r="C470" s="17" t="s">
        <v>26</v>
      </c>
      <c r="D470" s="40">
        <v>750000</v>
      </c>
      <c r="E470" s="18"/>
      <c r="F470" s="18"/>
    </row>
    <row r="471" spans="1:6" x14ac:dyDescent="0.25">
      <c r="A471" s="14">
        <v>13</v>
      </c>
      <c r="B471" s="16">
        <v>45844</v>
      </c>
      <c r="C471" s="17" t="s">
        <v>312</v>
      </c>
      <c r="D471" s="40">
        <v>850000</v>
      </c>
      <c r="E471" s="18"/>
      <c r="F471" s="18"/>
    </row>
    <row r="472" spans="1:6" x14ac:dyDescent="0.25">
      <c r="A472" s="14">
        <v>14</v>
      </c>
      <c r="B472" s="16">
        <v>45847</v>
      </c>
      <c r="C472" s="17" t="s">
        <v>313</v>
      </c>
      <c r="D472" s="40">
        <v>925000</v>
      </c>
      <c r="E472" s="18"/>
      <c r="F472" s="18"/>
    </row>
    <row r="473" spans="1:6" x14ac:dyDescent="0.25">
      <c r="A473" s="14">
        <v>15</v>
      </c>
      <c r="B473" s="16">
        <v>45847</v>
      </c>
      <c r="C473" s="17" t="s">
        <v>90</v>
      </c>
      <c r="D473" s="40">
        <v>1125000</v>
      </c>
      <c r="E473" s="18"/>
      <c r="F473" s="18"/>
    </row>
    <row r="474" spans="1:6" x14ac:dyDescent="0.25">
      <c r="A474" s="14">
        <v>16</v>
      </c>
      <c r="B474" s="16">
        <v>45847</v>
      </c>
      <c r="C474" s="17" t="s">
        <v>90</v>
      </c>
      <c r="D474" s="40">
        <v>170000</v>
      </c>
      <c r="E474" s="18"/>
      <c r="F474" s="18"/>
    </row>
    <row r="475" spans="1:6" x14ac:dyDescent="0.25">
      <c r="A475" s="14">
        <v>17</v>
      </c>
      <c r="B475" s="16">
        <v>45848</v>
      </c>
      <c r="C475" s="19" t="s">
        <v>261</v>
      </c>
      <c r="D475" s="40">
        <v>1265000</v>
      </c>
      <c r="E475" s="18"/>
      <c r="F475" s="18"/>
    </row>
    <row r="476" spans="1:6" x14ac:dyDescent="0.25">
      <c r="A476" s="14">
        <v>18</v>
      </c>
      <c r="B476" s="16">
        <v>45849</v>
      </c>
      <c r="C476" s="17" t="s">
        <v>29</v>
      </c>
      <c r="D476" s="40">
        <v>750000</v>
      </c>
      <c r="E476" s="18"/>
      <c r="F476" s="18"/>
    </row>
    <row r="477" spans="1:6" x14ac:dyDescent="0.25">
      <c r="A477" s="14">
        <v>19</v>
      </c>
      <c r="B477" s="16">
        <v>45849</v>
      </c>
      <c r="C477" s="17" t="s">
        <v>42</v>
      </c>
      <c r="D477" s="40">
        <v>1125000</v>
      </c>
      <c r="E477" s="18"/>
      <c r="F477" s="18"/>
    </row>
    <row r="478" spans="1:6" x14ac:dyDescent="0.25">
      <c r="A478" s="14">
        <v>20</v>
      </c>
      <c r="B478" s="16">
        <v>45850</v>
      </c>
      <c r="C478" s="17" t="s">
        <v>314</v>
      </c>
      <c r="D478" s="40">
        <v>1100000</v>
      </c>
      <c r="E478" s="18"/>
      <c r="F478" s="18"/>
    </row>
    <row r="479" spans="1:6" x14ac:dyDescent="0.25">
      <c r="A479" s="14">
        <v>21</v>
      </c>
      <c r="B479" s="16">
        <v>45851</v>
      </c>
      <c r="C479" s="17" t="s">
        <v>30</v>
      </c>
      <c r="D479" s="40">
        <v>695000</v>
      </c>
      <c r="E479" s="18"/>
      <c r="F479" s="18"/>
    </row>
    <row r="480" spans="1:6" x14ac:dyDescent="0.25">
      <c r="A480" s="14">
        <v>22</v>
      </c>
      <c r="B480" s="16">
        <v>45852</v>
      </c>
      <c r="C480" s="17" t="s">
        <v>315</v>
      </c>
      <c r="D480" s="40">
        <v>975000</v>
      </c>
      <c r="E480" s="18"/>
      <c r="F480" s="18"/>
    </row>
    <row r="481" spans="1:6" x14ac:dyDescent="0.25">
      <c r="A481" s="14">
        <v>23</v>
      </c>
      <c r="B481" s="16">
        <v>45852</v>
      </c>
      <c r="C481" s="17" t="s">
        <v>41</v>
      </c>
      <c r="D481" s="40">
        <v>750000</v>
      </c>
      <c r="E481" s="18"/>
      <c r="F481" s="18"/>
    </row>
    <row r="482" spans="1:6" x14ac:dyDescent="0.25">
      <c r="A482" s="14">
        <v>24</v>
      </c>
      <c r="B482" s="16">
        <v>45853</v>
      </c>
      <c r="C482" s="17" t="s">
        <v>316</v>
      </c>
      <c r="D482" s="40">
        <v>1475000</v>
      </c>
      <c r="E482" s="18"/>
      <c r="F482" s="18"/>
    </row>
    <row r="483" spans="1:6" x14ac:dyDescent="0.25">
      <c r="A483" s="14">
        <v>25</v>
      </c>
      <c r="B483" s="16">
        <v>45855</v>
      </c>
      <c r="C483" s="17" t="s">
        <v>317</v>
      </c>
      <c r="D483" s="40">
        <v>800000</v>
      </c>
      <c r="E483" s="18"/>
      <c r="F483" s="18"/>
    </row>
    <row r="484" spans="1:6" x14ac:dyDescent="0.25">
      <c r="A484" s="14">
        <v>26</v>
      </c>
      <c r="B484" s="16">
        <v>45859</v>
      </c>
      <c r="C484" s="17" t="s">
        <v>318</v>
      </c>
      <c r="D484" s="40">
        <v>350000</v>
      </c>
      <c r="E484" s="18"/>
      <c r="F484" s="18"/>
    </row>
    <row r="485" spans="1:6" x14ac:dyDescent="0.25">
      <c r="A485" s="14">
        <v>27</v>
      </c>
      <c r="B485" s="16">
        <v>45859</v>
      </c>
      <c r="C485" s="17" t="s">
        <v>78</v>
      </c>
      <c r="D485" s="40">
        <v>1125000</v>
      </c>
      <c r="E485" s="18"/>
      <c r="F485" s="18"/>
    </row>
    <row r="486" spans="1:6" x14ac:dyDescent="0.25">
      <c r="A486" s="14">
        <v>28</v>
      </c>
      <c r="B486" s="16">
        <v>45861</v>
      </c>
      <c r="C486" s="17" t="s">
        <v>35</v>
      </c>
      <c r="D486" s="40">
        <v>880000</v>
      </c>
      <c r="E486" s="18"/>
      <c r="F486" s="18"/>
    </row>
    <row r="487" spans="1:6" x14ac:dyDescent="0.25">
      <c r="A487" s="14">
        <v>29</v>
      </c>
      <c r="B487" s="16">
        <v>45861</v>
      </c>
      <c r="C487" s="17" t="s">
        <v>319</v>
      </c>
      <c r="D487" s="40">
        <v>1125000</v>
      </c>
      <c r="E487" s="18"/>
      <c r="F487" s="18"/>
    </row>
    <row r="488" spans="1:6" x14ac:dyDescent="0.25">
      <c r="A488" s="14">
        <v>30</v>
      </c>
      <c r="B488" s="16">
        <v>45862</v>
      </c>
      <c r="C488" s="17" t="s">
        <v>103</v>
      </c>
      <c r="D488" s="40">
        <v>75000</v>
      </c>
      <c r="E488" s="18"/>
      <c r="F488" s="18"/>
    </row>
    <row r="489" spans="1:6" x14ac:dyDescent="0.25">
      <c r="A489" s="14">
        <v>31</v>
      </c>
      <c r="B489" s="16">
        <v>45862</v>
      </c>
      <c r="C489" s="17" t="s">
        <v>320</v>
      </c>
      <c r="D489" s="40">
        <v>1725000</v>
      </c>
      <c r="E489" s="18"/>
      <c r="F489" s="18"/>
    </row>
    <row r="490" spans="1:6" x14ac:dyDescent="0.25">
      <c r="A490" s="14">
        <v>32</v>
      </c>
      <c r="B490" s="16">
        <v>45862</v>
      </c>
      <c r="C490" s="17" t="s">
        <v>321</v>
      </c>
      <c r="D490" s="40">
        <v>1475000</v>
      </c>
      <c r="E490" s="18"/>
      <c r="F490" s="18"/>
    </row>
    <row r="491" spans="1:6" x14ac:dyDescent="0.25">
      <c r="A491" s="14">
        <v>33</v>
      </c>
      <c r="B491" s="16">
        <v>45867</v>
      </c>
      <c r="C491" s="17" t="s">
        <v>46</v>
      </c>
      <c r="D491" s="40">
        <v>1135000</v>
      </c>
      <c r="E491" s="18"/>
      <c r="F491" s="18"/>
    </row>
    <row r="492" spans="1:6" x14ac:dyDescent="0.25">
      <c r="A492" s="14">
        <v>34</v>
      </c>
      <c r="B492" s="16">
        <v>45869</v>
      </c>
      <c r="C492" s="17" t="s">
        <v>318</v>
      </c>
      <c r="D492" s="40">
        <v>350000</v>
      </c>
      <c r="E492" s="18"/>
      <c r="F492" s="18"/>
    </row>
    <row r="493" spans="1:6" x14ac:dyDescent="0.25">
      <c r="A493" s="14">
        <v>35</v>
      </c>
      <c r="B493" s="16">
        <v>45869</v>
      </c>
      <c r="C493" s="17" t="s">
        <v>322</v>
      </c>
      <c r="D493" s="40">
        <v>1725000</v>
      </c>
      <c r="E493" s="18"/>
      <c r="F493" s="18"/>
    </row>
    <row r="494" spans="1:6" x14ac:dyDescent="0.25">
      <c r="A494" s="14"/>
      <c r="B494" s="16"/>
      <c r="C494" s="17"/>
      <c r="D494" s="40"/>
      <c r="E494" s="18"/>
      <c r="F494" s="18"/>
    </row>
    <row r="495" spans="1:6" x14ac:dyDescent="0.25">
      <c r="A495" s="14"/>
      <c r="B495" s="14"/>
      <c r="C495" s="20" t="s">
        <v>132</v>
      </c>
      <c r="D495" s="18"/>
      <c r="E495" s="18"/>
      <c r="F495" s="18"/>
    </row>
    <row r="496" spans="1:6" ht="15.75" x14ac:dyDescent="0.25">
      <c r="A496" s="14">
        <v>36</v>
      </c>
      <c r="B496" s="16">
        <v>45839</v>
      </c>
      <c r="C496" s="21" t="s">
        <v>50</v>
      </c>
      <c r="D496" s="18"/>
      <c r="E496" s="18">
        <v>1450000</v>
      </c>
      <c r="F496" s="18"/>
    </row>
    <row r="497" spans="1:6" ht="15.75" x14ac:dyDescent="0.25">
      <c r="A497" s="14">
        <v>37</v>
      </c>
      <c r="B497" s="14"/>
      <c r="C497" s="21" t="s">
        <v>51</v>
      </c>
      <c r="D497" s="18"/>
      <c r="E497" s="18">
        <v>1450000</v>
      </c>
      <c r="F497" s="18"/>
    </row>
    <row r="498" spans="1:6" ht="15.75" x14ac:dyDescent="0.25">
      <c r="A498" s="14">
        <v>38</v>
      </c>
      <c r="B498" s="14"/>
      <c r="C498" s="21" t="s">
        <v>53</v>
      </c>
      <c r="D498" s="18"/>
      <c r="E498" s="18">
        <v>1350000</v>
      </c>
      <c r="F498" s="18"/>
    </row>
    <row r="499" spans="1:6" ht="15.75" x14ac:dyDescent="0.25">
      <c r="A499" s="14">
        <v>39</v>
      </c>
      <c r="B499" s="14"/>
      <c r="C499" s="21" t="s">
        <v>323</v>
      </c>
      <c r="D499" s="18"/>
      <c r="E499" s="18">
        <v>325000</v>
      </c>
      <c r="F499" s="18"/>
    </row>
    <row r="500" spans="1:6" ht="15.75" x14ac:dyDescent="0.25">
      <c r="A500" s="14">
        <v>40</v>
      </c>
      <c r="B500" s="14"/>
      <c r="C500" s="21" t="s">
        <v>133</v>
      </c>
      <c r="D500" s="40"/>
      <c r="E500" s="40">
        <v>100000</v>
      </c>
      <c r="F500" s="18"/>
    </row>
    <row r="501" spans="1:6" ht="15.75" x14ac:dyDescent="0.25">
      <c r="A501" s="14">
        <v>41</v>
      </c>
      <c r="B501" s="14"/>
      <c r="C501" s="21" t="s">
        <v>55</v>
      </c>
      <c r="D501" s="40"/>
      <c r="E501" s="40">
        <v>1057500</v>
      </c>
      <c r="F501" s="18"/>
    </row>
    <row r="502" spans="1:6" ht="15.75" x14ac:dyDescent="0.25">
      <c r="A502" s="14">
        <v>42</v>
      </c>
      <c r="B502" s="14"/>
      <c r="C502" s="21" t="s">
        <v>56</v>
      </c>
      <c r="D502" s="40"/>
      <c r="E502" s="40">
        <v>2340000</v>
      </c>
      <c r="F502" s="18"/>
    </row>
    <row r="503" spans="1:6" ht="15.75" x14ac:dyDescent="0.25">
      <c r="A503" s="14">
        <v>43</v>
      </c>
      <c r="B503" s="16">
        <v>45839</v>
      </c>
      <c r="C503" s="21" t="s">
        <v>324</v>
      </c>
      <c r="D503" s="18"/>
      <c r="E503" s="18">
        <v>75000</v>
      </c>
      <c r="F503" s="18"/>
    </row>
    <row r="504" spans="1:6" ht="15.75" x14ac:dyDescent="0.25">
      <c r="A504" s="14">
        <v>44</v>
      </c>
      <c r="B504" s="14"/>
      <c r="C504" s="21" t="s">
        <v>325</v>
      </c>
      <c r="D504" s="18"/>
      <c r="E504" s="18">
        <v>40000000</v>
      </c>
      <c r="F504" s="18"/>
    </row>
    <row r="505" spans="1:6" ht="15.75" x14ac:dyDescent="0.25">
      <c r="A505" s="14">
        <v>45</v>
      </c>
      <c r="B505" s="14"/>
      <c r="C505" s="21" t="s">
        <v>326</v>
      </c>
      <c r="D505" s="18"/>
      <c r="E505" s="18">
        <v>18000000</v>
      </c>
      <c r="F505" s="18"/>
    </row>
    <row r="506" spans="1:6" ht="15.75" x14ac:dyDescent="0.25">
      <c r="A506" s="14">
        <v>46</v>
      </c>
      <c r="B506" s="14"/>
      <c r="C506" s="21" t="s">
        <v>327</v>
      </c>
      <c r="D506" s="18"/>
      <c r="E506" s="18">
        <v>180000</v>
      </c>
      <c r="F506" s="18"/>
    </row>
    <row r="507" spans="1:6" ht="15.75" x14ac:dyDescent="0.25">
      <c r="A507" s="14">
        <v>47</v>
      </c>
      <c r="B507" s="14"/>
      <c r="C507" s="21" t="s">
        <v>328</v>
      </c>
      <c r="D507" s="18"/>
      <c r="E507" s="18">
        <v>75000</v>
      </c>
      <c r="F507" s="18"/>
    </row>
    <row r="508" spans="1:6" ht="15.75" x14ac:dyDescent="0.25">
      <c r="A508" s="14">
        <v>48</v>
      </c>
      <c r="B508" s="14"/>
      <c r="C508" s="21" t="s">
        <v>61</v>
      </c>
      <c r="D508" s="18"/>
      <c r="E508" s="18">
        <v>74500</v>
      </c>
      <c r="F508" s="18"/>
    </row>
    <row r="509" spans="1:6" ht="15.75" x14ac:dyDescent="0.25">
      <c r="A509" s="14">
        <v>49</v>
      </c>
      <c r="B509" s="16">
        <v>45846</v>
      </c>
      <c r="C509" s="21" t="s">
        <v>329</v>
      </c>
      <c r="D509" s="18"/>
      <c r="E509" s="18">
        <v>65000</v>
      </c>
      <c r="F509" s="18"/>
    </row>
    <row r="510" spans="1:6" ht="15.75" x14ac:dyDescent="0.25">
      <c r="A510" s="22">
        <v>50</v>
      </c>
      <c r="B510" s="22"/>
      <c r="C510" s="24" t="s">
        <v>330</v>
      </c>
      <c r="D510" s="25"/>
      <c r="E510" s="25">
        <v>50000</v>
      </c>
      <c r="F510" s="25"/>
    </row>
    <row r="511" spans="1:6" ht="15.75" x14ac:dyDescent="0.25">
      <c r="A511" s="144">
        <v>51</v>
      </c>
      <c r="B511" s="47"/>
      <c r="C511" s="24" t="s">
        <v>331</v>
      </c>
      <c r="D511" s="25"/>
      <c r="E511" s="146">
        <v>480000</v>
      </c>
      <c r="F511" s="28"/>
    </row>
    <row r="512" spans="1:6" ht="15.75" x14ac:dyDescent="0.25">
      <c r="A512" s="145"/>
      <c r="B512" s="50"/>
      <c r="C512" s="52" t="s">
        <v>332</v>
      </c>
      <c r="D512" s="32"/>
      <c r="E512" s="147"/>
      <c r="F512" s="33"/>
    </row>
    <row r="513" spans="1:6" ht="15.75" x14ac:dyDescent="0.25">
      <c r="A513" s="29">
        <v>52</v>
      </c>
      <c r="B513" s="115">
        <v>45847</v>
      </c>
      <c r="C513" s="52" t="s">
        <v>333</v>
      </c>
      <c r="D513" s="32"/>
      <c r="E513" s="32">
        <v>1200000</v>
      </c>
      <c r="F513" s="32"/>
    </row>
    <row r="514" spans="1:6" ht="15.75" x14ac:dyDescent="0.25">
      <c r="A514" s="14">
        <v>53</v>
      </c>
      <c r="B514" s="14"/>
      <c r="C514" s="21" t="s">
        <v>334</v>
      </c>
      <c r="D514" s="18"/>
      <c r="E514" s="18">
        <v>650000</v>
      </c>
      <c r="F514" s="18"/>
    </row>
    <row r="515" spans="1:6" ht="15.75" x14ac:dyDescent="0.25">
      <c r="A515" s="14">
        <v>54</v>
      </c>
      <c r="B515" s="14"/>
      <c r="C515" s="21" t="s">
        <v>335</v>
      </c>
      <c r="D515" s="18"/>
      <c r="E515" s="18">
        <v>60000</v>
      </c>
      <c r="F515" s="18"/>
    </row>
    <row r="516" spans="1:6" ht="15.75" x14ac:dyDescent="0.25">
      <c r="A516" s="14">
        <v>55</v>
      </c>
      <c r="B516" s="14"/>
      <c r="C516" s="21" t="s">
        <v>336</v>
      </c>
      <c r="D516" s="18"/>
      <c r="E516" s="18">
        <v>60000</v>
      </c>
      <c r="F516" s="18"/>
    </row>
    <row r="517" spans="1:6" ht="15.75" x14ac:dyDescent="0.25">
      <c r="A517" s="14">
        <v>57</v>
      </c>
      <c r="B517" s="14"/>
      <c r="C517" s="21" t="s">
        <v>337</v>
      </c>
      <c r="D517" s="18"/>
      <c r="E517" s="18">
        <v>5000</v>
      </c>
      <c r="F517" s="18"/>
    </row>
    <row r="518" spans="1:6" ht="15.75" x14ac:dyDescent="0.25">
      <c r="A518" s="14">
        <v>58</v>
      </c>
      <c r="B518" s="14"/>
      <c r="C518" s="21" t="s">
        <v>338</v>
      </c>
      <c r="D518" s="18"/>
      <c r="E518" s="18">
        <v>312000</v>
      </c>
      <c r="F518" s="18"/>
    </row>
    <row r="519" spans="1:6" ht="15.75" x14ac:dyDescent="0.25">
      <c r="A519" s="14">
        <v>59</v>
      </c>
      <c r="B519" s="16">
        <v>45849</v>
      </c>
      <c r="C519" s="21" t="s">
        <v>339</v>
      </c>
      <c r="D519" s="18"/>
      <c r="E519" s="18">
        <v>512000</v>
      </c>
      <c r="F519" s="18"/>
    </row>
    <row r="520" spans="1:6" x14ac:dyDescent="0.25">
      <c r="A520" s="14">
        <v>60</v>
      </c>
      <c r="B520" s="16"/>
      <c r="C520" s="17" t="s">
        <v>340</v>
      </c>
      <c r="D520" s="40"/>
      <c r="E520" s="40">
        <v>850000</v>
      </c>
      <c r="F520" s="18"/>
    </row>
    <row r="521" spans="1:6" x14ac:dyDescent="0.25">
      <c r="A521" s="14">
        <v>61</v>
      </c>
      <c r="B521" s="16"/>
      <c r="C521" s="19" t="s">
        <v>109</v>
      </c>
      <c r="D521" s="18"/>
      <c r="E521" s="18">
        <v>150000</v>
      </c>
      <c r="F521" s="18"/>
    </row>
    <row r="522" spans="1:6" x14ac:dyDescent="0.25">
      <c r="A522" s="14">
        <v>61</v>
      </c>
      <c r="B522" s="16">
        <v>45850</v>
      </c>
      <c r="C522" s="19" t="s">
        <v>341</v>
      </c>
      <c r="D522" s="18"/>
      <c r="E522" s="18">
        <v>53000</v>
      </c>
      <c r="F522" s="18"/>
    </row>
    <row r="523" spans="1:6" x14ac:dyDescent="0.25">
      <c r="A523" s="14">
        <v>62</v>
      </c>
      <c r="B523" s="16">
        <v>45850</v>
      </c>
      <c r="C523" s="19" t="s">
        <v>342</v>
      </c>
      <c r="D523" s="18"/>
      <c r="E523" s="18">
        <v>112000</v>
      </c>
      <c r="F523" s="18"/>
    </row>
    <row r="524" spans="1:6" x14ac:dyDescent="0.25">
      <c r="A524" s="14"/>
      <c r="B524" s="16"/>
      <c r="C524" s="99" t="s">
        <v>343</v>
      </c>
      <c r="D524" s="100"/>
      <c r="E524" s="100"/>
      <c r="F524" s="18"/>
    </row>
    <row r="525" spans="1:6" ht="15.75" x14ac:dyDescent="0.25">
      <c r="A525" s="14">
        <v>63</v>
      </c>
      <c r="B525" s="16">
        <v>45847</v>
      </c>
      <c r="C525" s="101" t="s">
        <v>344</v>
      </c>
      <c r="D525" s="100"/>
      <c r="E525" s="100">
        <v>162500</v>
      </c>
      <c r="F525" s="18"/>
    </row>
    <row r="526" spans="1:6" ht="15.75" x14ac:dyDescent="0.25">
      <c r="A526" s="14">
        <v>64</v>
      </c>
      <c r="B526" s="14"/>
      <c r="C526" s="101" t="s">
        <v>345</v>
      </c>
      <c r="D526" s="100"/>
      <c r="E526" s="100">
        <v>18000</v>
      </c>
      <c r="F526" s="18"/>
    </row>
    <row r="527" spans="1:6" ht="15.75" x14ac:dyDescent="0.25">
      <c r="A527" s="14">
        <v>65</v>
      </c>
      <c r="B527" s="14"/>
      <c r="C527" s="101" t="s">
        <v>346</v>
      </c>
      <c r="D527" s="100"/>
      <c r="E527" s="100">
        <v>1495000</v>
      </c>
      <c r="F527" s="18"/>
    </row>
    <row r="528" spans="1:6" ht="15.75" x14ac:dyDescent="0.25">
      <c r="A528" s="14">
        <v>66</v>
      </c>
      <c r="B528" s="16">
        <v>45849</v>
      </c>
      <c r="C528" s="101" t="s">
        <v>347</v>
      </c>
      <c r="D528" s="100"/>
      <c r="E528" s="100">
        <v>108000</v>
      </c>
      <c r="F528" s="18"/>
    </row>
    <row r="529" spans="1:6" ht="15.75" x14ac:dyDescent="0.25">
      <c r="A529" s="14">
        <v>67</v>
      </c>
      <c r="B529" s="16"/>
      <c r="C529" s="101" t="s">
        <v>348</v>
      </c>
      <c r="D529" s="100"/>
      <c r="E529" s="100">
        <v>411500</v>
      </c>
      <c r="F529" s="18"/>
    </row>
    <row r="530" spans="1:6" x14ac:dyDescent="0.25">
      <c r="A530" s="14">
        <v>68</v>
      </c>
      <c r="B530" s="14"/>
      <c r="C530" s="102" t="s">
        <v>349</v>
      </c>
      <c r="D530" s="100"/>
      <c r="E530" s="100">
        <v>234000</v>
      </c>
      <c r="F530" s="18"/>
    </row>
    <row r="531" spans="1:6" x14ac:dyDescent="0.25">
      <c r="A531" s="14">
        <v>69</v>
      </c>
      <c r="B531" s="14"/>
      <c r="C531" s="102" t="s">
        <v>350</v>
      </c>
      <c r="D531" s="100"/>
      <c r="E531" s="100">
        <v>2190000</v>
      </c>
      <c r="F531" s="18"/>
    </row>
    <row r="532" spans="1:6" x14ac:dyDescent="0.25">
      <c r="A532" s="14">
        <v>70</v>
      </c>
      <c r="B532" s="16">
        <v>45850</v>
      </c>
      <c r="C532" s="102" t="s">
        <v>351</v>
      </c>
      <c r="D532" s="100"/>
      <c r="E532" s="100">
        <v>178000</v>
      </c>
      <c r="F532" s="18"/>
    </row>
    <row r="533" spans="1:6" x14ac:dyDescent="0.25">
      <c r="A533" s="14">
        <v>71</v>
      </c>
      <c r="B533" s="16">
        <v>45851</v>
      </c>
      <c r="C533" s="102" t="s">
        <v>352</v>
      </c>
      <c r="D533" s="100"/>
      <c r="E533" s="100">
        <v>400000</v>
      </c>
      <c r="F533" s="18"/>
    </row>
    <row r="534" spans="1:6" x14ac:dyDescent="0.25">
      <c r="A534" s="14">
        <v>72</v>
      </c>
      <c r="B534" s="14"/>
      <c r="C534" s="102" t="s">
        <v>353</v>
      </c>
      <c r="D534" s="100"/>
      <c r="E534" s="100">
        <v>750000</v>
      </c>
      <c r="F534" s="18"/>
    </row>
    <row r="535" spans="1:6" x14ac:dyDescent="0.25">
      <c r="A535" s="14">
        <v>73</v>
      </c>
      <c r="B535" s="14"/>
      <c r="C535" s="102" t="s">
        <v>354</v>
      </c>
      <c r="D535" s="100"/>
      <c r="E535" s="100">
        <v>500000</v>
      </c>
      <c r="F535" s="18"/>
    </row>
    <row r="536" spans="1:6" x14ac:dyDescent="0.25">
      <c r="A536" s="14">
        <v>74</v>
      </c>
      <c r="B536" s="14"/>
      <c r="C536" s="102" t="s">
        <v>355</v>
      </c>
      <c r="D536" s="100"/>
      <c r="E536" s="100">
        <v>300000</v>
      </c>
      <c r="F536" s="18"/>
    </row>
    <row r="537" spans="1:6" x14ac:dyDescent="0.25">
      <c r="A537" s="14">
        <v>75</v>
      </c>
      <c r="B537" s="14"/>
      <c r="C537" s="102" t="s">
        <v>356</v>
      </c>
      <c r="D537" s="100"/>
      <c r="E537" s="100">
        <v>600000</v>
      </c>
      <c r="F537" s="18"/>
    </row>
    <row r="538" spans="1:6" x14ac:dyDescent="0.25">
      <c r="A538" s="14">
        <v>76</v>
      </c>
      <c r="B538" s="14"/>
      <c r="C538" s="102" t="s">
        <v>357</v>
      </c>
      <c r="D538" s="100"/>
      <c r="E538" s="100">
        <v>30000</v>
      </c>
      <c r="F538" s="18"/>
    </row>
    <row r="539" spans="1:6" x14ac:dyDescent="0.25">
      <c r="A539" s="14">
        <v>77</v>
      </c>
      <c r="B539" s="14"/>
      <c r="C539" s="102" t="s">
        <v>358</v>
      </c>
      <c r="D539" s="100"/>
      <c r="E539" s="100">
        <v>312000</v>
      </c>
      <c r="F539" s="18"/>
    </row>
    <row r="540" spans="1:6" x14ac:dyDescent="0.25">
      <c r="A540" s="14">
        <v>78</v>
      </c>
      <c r="B540" s="14"/>
      <c r="C540" s="102" t="s">
        <v>359</v>
      </c>
      <c r="D540" s="100"/>
      <c r="E540" s="100">
        <v>3670000</v>
      </c>
      <c r="F540" s="18"/>
    </row>
    <row r="541" spans="1:6" x14ac:dyDescent="0.25">
      <c r="A541" s="14">
        <v>79</v>
      </c>
      <c r="B541" s="14"/>
      <c r="C541" s="102" t="s">
        <v>360</v>
      </c>
      <c r="D541" s="100"/>
      <c r="E541" s="100">
        <v>30000</v>
      </c>
      <c r="F541" s="18"/>
    </row>
    <row r="542" spans="1:6" x14ac:dyDescent="0.25">
      <c r="A542" s="14">
        <v>80</v>
      </c>
      <c r="B542" s="16">
        <v>45852</v>
      </c>
      <c r="C542" s="19" t="s">
        <v>361</v>
      </c>
      <c r="D542" s="18"/>
      <c r="E542" s="18">
        <v>30000</v>
      </c>
      <c r="F542" s="18"/>
    </row>
    <row r="543" spans="1:6" x14ac:dyDescent="0.25">
      <c r="A543" s="14">
        <v>81</v>
      </c>
      <c r="B543" s="14"/>
      <c r="C543" s="19" t="s">
        <v>362</v>
      </c>
      <c r="D543" s="18"/>
      <c r="E543" s="18">
        <v>25000</v>
      </c>
      <c r="F543" s="18"/>
    </row>
    <row r="544" spans="1:6" x14ac:dyDescent="0.25">
      <c r="A544" s="14">
        <v>82</v>
      </c>
      <c r="B544" s="14"/>
      <c r="C544" s="19" t="s">
        <v>363</v>
      </c>
      <c r="D544" s="18"/>
      <c r="E544" s="18">
        <v>50000</v>
      </c>
      <c r="F544" s="18"/>
    </row>
    <row r="545" spans="1:6" x14ac:dyDescent="0.25">
      <c r="A545" s="14">
        <v>83</v>
      </c>
      <c r="B545" s="14"/>
      <c r="C545" s="19" t="s">
        <v>364</v>
      </c>
      <c r="D545" s="18"/>
      <c r="E545" s="18">
        <v>75000</v>
      </c>
      <c r="F545" s="18"/>
    </row>
    <row r="546" spans="1:6" x14ac:dyDescent="0.25">
      <c r="A546" s="14">
        <v>84</v>
      </c>
      <c r="B546" s="16">
        <v>45852</v>
      </c>
      <c r="C546" s="19" t="s">
        <v>365</v>
      </c>
      <c r="D546" s="18"/>
      <c r="E546" s="18">
        <v>1380000</v>
      </c>
      <c r="F546" s="18"/>
    </row>
    <row r="547" spans="1:6" x14ac:dyDescent="0.25">
      <c r="A547" s="14">
        <v>85</v>
      </c>
      <c r="B547" s="14"/>
      <c r="C547" s="19" t="s">
        <v>366</v>
      </c>
      <c r="D547" s="18"/>
      <c r="E547" s="18">
        <v>4718000</v>
      </c>
      <c r="F547" s="18"/>
    </row>
    <row r="548" spans="1:6" x14ac:dyDescent="0.25">
      <c r="A548" s="14">
        <v>86</v>
      </c>
      <c r="B548" s="16">
        <v>45852</v>
      </c>
      <c r="C548" s="19" t="s">
        <v>367</v>
      </c>
      <c r="D548" s="18"/>
      <c r="E548" s="18">
        <v>203000</v>
      </c>
      <c r="F548" s="18"/>
    </row>
    <row r="549" spans="1:6" x14ac:dyDescent="0.25">
      <c r="A549" s="14">
        <v>87</v>
      </c>
      <c r="B549" s="14"/>
      <c r="C549" s="19" t="s">
        <v>368</v>
      </c>
      <c r="D549" s="18"/>
      <c r="E549" s="18">
        <v>210000</v>
      </c>
      <c r="F549" s="18"/>
    </row>
    <row r="550" spans="1:6" x14ac:dyDescent="0.25">
      <c r="A550" s="14">
        <v>88</v>
      </c>
      <c r="B550" s="14"/>
      <c r="C550" s="19" t="s">
        <v>369</v>
      </c>
      <c r="D550" s="18"/>
      <c r="E550" s="18">
        <v>208200</v>
      </c>
      <c r="F550" s="18"/>
    </row>
    <row r="551" spans="1:6" x14ac:dyDescent="0.25">
      <c r="A551" s="14">
        <v>89</v>
      </c>
      <c r="B551" s="14"/>
      <c r="C551" s="19" t="s">
        <v>172</v>
      </c>
      <c r="D551" s="18"/>
      <c r="E551" s="18">
        <v>60000</v>
      </c>
      <c r="F551" s="18"/>
    </row>
    <row r="552" spans="1:6" x14ac:dyDescent="0.25">
      <c r="A552" s="14">
        <v>90</v>
      </c>
      <c r="B552" s="14"/>
      <c r="C552" s="19" t="s">
        <v>370</v>
      </c>
      <c r="D552" s="18"/>
      <c r="E552" s="18">
        <v>1700000</v>
      </c>
      <c r="F552" s="18"/>
    </row>
    <row r="553" spans="1:6" x14ac:dyDescent="0.25">
      <c r="A553" s="14">
        <v>91</v>
      </c>
      <c r="B553" s="14"/>
      <c r="C553" s="19" t="s">
        <v>371</v>
      </c>
      <c r="D553" s="18"/>
      <c r="E553" s="18">
        <v>22000</v>
      </c>
      <c r="F553" s="18"/>
    </row>
    <row r="554" spans="1:6" x14ac:dyDescent="0.25">
      <c r="A554" s="14">
        <v>92</v>
      </c>
      <c r="B554" s="14"/>
      <c r="C554" s="19" t="s">
        <v>372</v>
      </c>
      <c r="D554" s="18"/>
      <c r="E554" s="18">
        <v>53000</v>
      </c>
      <c r="F554" s="18"/>
    </row>
    <row r="555" spans="1:6" x14ac:dyDescent="0.25">
      <c r="A555" s="14">
        <v>93</v>
      </c>
      <c r="B555" s="14"/>
      <c r="C555" s="19" t="s">
        <v>373</v>
      </c>
      <c r="D555" s="18"/>
      <c r="E555" s="18">
        <v>136700</v>
      </c>
      <c r="F555" s="18"/>
    </row>
    <row r="556" spans="1:6" x14ac:dyDescent="0.25">
      <c r="A556" s="14">
        <v>94</v>
      </c>
      <c r="B556" s="14"/>
      <c r="C556" s="19" t="s">
        <v>374</v>
      </c>
      <c r="D556" s="18"/>
      <c r="E556" s="18">
        <v>40000</v>
      </c>
      <c r="F556" s="18"/>
    </row>
    <row r="557" spans="1:6" x14ac:dyDescent="0.25">
      <c r="A557" s="14">
        <v>95</v>
      </c>
      <c r="B557" s="14"/>
      <c r="C557" s="19" t="s">
        <v>337</v>
      </c>
      <c r="D557" s="18"/>
      <c r="E557" s="18">
        <v>20000</v>
      </c>
      <c r="F557" s="18"/>
    </row>
    <row r="558" spans="1:6" x14ac:dyDescent="0.25">
      <c r="A558" s="14">
        <v>96</v>
      </c>
      <c r="B558" s="14"/>
      <c r="C558" s="19" t="s">
        <v>61</v>
      </c>
      <c r="D558" s="18"/>
      <c r="E558" s="18">
        <v>75000</v>
      </c>
      <c r="F558" s="18"/>
    </row>
    <row r="559" spans="1:6" x14ac:dyDescent="0.25">
      <c r="A559" s="14">
        <v>97</v>
      </c>
      <c r="B559" s="14"/>
      <c r="C559" s="19" t="s">
        <v>375</v>
      </c>
      <c r="D559" s="18"/>
      <c r="E559" s="18">
        <v>1014000</v>
      </c>
      <c r="F559" s="18"/>
    </row>
    <row r="560" spans="1:6" x14ac:dyDescent="0.25">
      <c r="A560" s="14">
        <v>98</v>
      </c>
      <c r="B560" s="16">
        <v>45857</v>
      </c>
      <c r="C560" s="19" t="s">
        <v>376</v>
      </c>
      <c r="D560" s="18"/>
      <c r="E560" s="18">
        <v>200000</v>
      </c>
      <c r="F560" s="18"/>
    </row>
    <row r="561" spans="1:6" x14ac:dyDescent="0.25">
      <c r="A561" s="14">
        <v>99</v>
      </c>
      <c r="B561" s="16">
        <v>45860</v>
      </c>
      <c r="C561" s="19" t="s">
        <v>377</v>
      </c>
      <c r="D561" s="18"/>
      <c r="E561" s="18">
        <v>60000</v>
      </c>
      <c r="F561" s="18"/>
    </row>
    <row r="562" spans="1:6" x14ac:dyDescent="0.25">
      <c r="A562" s="14">
        <v>100</v>
      </c>
      <c r="B562" s="14"/>
      <c r="C562" s="19" t="s">
        <v>378</v>
      </c>
      <c r="D562" s="18"/>
      <c r="E562" s="18">
        <v>406000</v>
      </c>
      <c r="F562" s="18"/>
    </row>
    <row r="563" spans="1:6" x14ac:dyDescent="0.25">
      <c r="A563" s="14">
        <v>101</v>
      </c>
      <c r="B563" s="22"/>
      <c r="C563" s="23" t="s">
        <v>379</v>
      </c>
      <c r="D563" s="25"/>
      <c r="E563" s="25">
        <v>600000</v>
      </c>
      <c r="F563" s="25"/>
    </row>
    <row r="564" spans="1:6" x14ac:dyDescent="0.25">
      <c r="A564" s="144">
        <v>102</v>
      </c>
      <c r="B564" s="47"/>
      <c r="C564" s="48" t="s">
        <v>380</v>
      </c>
      <c r="D564" s="25"/>
      <c r="E564" s="28">
        <v>900000</v>
      </c>
      <c r="F564" s="28"/>
    </row>
    <row r="565" spans="1:6" x14ac:dyDescent="0.25">
      <c r="A565" s="145"/>
      <c r="B565" s="50"/>
      <c r="C565" s="51" t="s">
        <v>381</v>
      </c>
      <c r="D565" s="32"/>
      <c r="E565" s="33"/>
      <c r="F565" s="33"/>
    </row>
    <row r="566" spans="1:6" x14ac:dyDescent="0.25">
      <c r="A566" s="14">
        <v>103</v>
      </c>
      <c r="B566" s="29"/>
      <c r="C566" s="53" t="s">
        <v>382</v>
      </c>
      <c r="D566" s="32"/>
      <c r="E566" s="32">
        <v>379500</v>
      </c>
      <c r="F566" s="32"/>
    </row>
    <row r="567" spans="1:6" x14ac:dyDescent="0.25">
      <c r="A567" s="14">
        <v>104</v>
      </c>
      <c r="B567" s="16">
        <v>45863</v>
      </c>
      <c r="C567" s="19" t="s">
        <v>61</v>
      </c>
      <c r="D567" s="18"/>
      <c r="E567" s="18">
        <v>79000</v>
      </c>
      <c r="F567" s="18"/>
    </row>
    <row r="568" spans="1:6" x14ac:dyDescent="0.25">
      <c r="A568" s="14">
        <v>105</v>
      </c>
      <c r="B568" s="14"/>
      <c r="C568" s="19" t="s">
        <v>337</v>
      </c>
      <c r="D568" s="18"/>
      <c r="E568" s="18">
        <v>20000</v>
      </c>
      <c r="F568" s="18"/>
    </row>
    <row r="569" spans="1:6" x14ac:dyDescent="0.25">
      <c r="A569" s="14">
        <v>106</v>
      </c>
      <c r="B569" s="14"/>
      <c r="C569" s="19" t="s">
        <v>276</v>
      </c>
      <c r="D569" s="18"/>
      <c r="E569" s="18">
        <v>28000</v>
      </c>
      <c r="F569" s="18"/>
    </row>
    <row r="570" spans="1:6" x14ac:dyDescent="0.25">
      <c r="A570" s="14">
        <v>107</v>
      </c>
      <c r="B570" s="14"/>
      <c r="C570" s="19" t="s">
        <v>383</v>
      </c>
      <c r="D570" s="18"/>
      <c r="E570" s="18">
        <v>75000</v>
      </c>
      <c r="F570" s="18"/>
    </row>
    <row r="571" spans="1:6" x14ac:dyDescent="0.25">
      <c r="A571" s="14">
        <v>108</v>
      </c>
      <c r="B571" s="14"/>
      <c r="C571" s="19" t="s">
        <v>384</v>
      </c>
      <c r="D571" s="18"/>
      <c r="E571" s="18">
        <v>22500</v>
      </c>
      <c r="F571" s="18"/>
    </row>
    <row r="572" spans="1:6" x14ac:dyDescent="0.25">
      <c r="A572" s="14">
        <v>109</v>
      </c>
      <c r="B572" s="14"/>
      <c r="C572" s="19" t="s">
        <v>385</v>
      </c>
      <c r="D572" s="18"/>
      <c r="E572" s="18">
        <v>17000</v>
      </c>
      <c r="F572" s="18"/>
    </row>
    <row r="573" spans="1:6" x14ac:dyDescent="0.25">
      <c r="A573" s="14">
        <v>110</v>
      </c>
      <c r="B573" s="14"/>
      <c r="C573" s="19" t="s">
        <v>386</v>
      </c>
      <c r="D573" s="18"/>
      <c r="E573" s="18">
        <v>1904000</v>
      </c>
      <c r="F573" s="18"/>
    </row>
    <row r="574" spans="1:6" x14ac:dyDescent="0.25">
      <c r="A574" s="14">
        <v>111</v>
      </c>
      <c r="B574" s="16">
        <v>45868</v>
      </c>
      <c r="C574" s="19" t="s">
        <v>378</v>
      </c>
      <c r="D574" s="18"/>
      <c r="E574" s="18">
        <v>200000</v>
      </c>
      <c r="F574" s="18"/>
    </row>
    <row r="575" spans="1:6" x14ac:dyDescent="0.25">
      <c r="A575" s="14">
        <v>112</v>
      </c>
      <c r="B575" s="16">
        <v>45868</v>
      </c>
      <c r="C575" s="19" t="s">
        <v>85</v>
      </c>
      <c r="D575" s="18"/>
      <c r="E575" s="18">
        <v>22000</v>
      </c>
      <c r="F575" s="18"/>
    </row>
    <row r="576" spans="1:6" x14ac:dyDescent="0.25">
      <c r="A576" s="14"/>
      <c r="B576" s="16"/>
      <c r="C576" s="19"/>
      <c r="D576" s="18"/>
      <c r="E576" s="18"/>
      <c r="F576" s="18"/>
    </row>
    <row r="577" spans="1:6" x14ac:dyDescent="0.25">
      <c r="A577" s="42"/>
      <c r="B577" s="103"/>
      <c r="C577" s="35" t="s">
        <v>71</v>
      </c>
      <c r="D577" s="36">
        <f>SUM(D459:D576)</f>
        <v>35610000</v>
      </c>
      <c r="E577" s="36">
        <f>SUM(E459:E576)</f>
        <v>97357900</v>
      </c>
      <c r="F577" s="36">
        <f>D577-E577</f>
        <v>-61747900</v>
      </c>
    </row>
    <row r="578" spans="1:6" x14ac:dyDescent="0.25">
      <c r="A578" s="112"/>
      <c r="B578" s="112"/>
      <c r="D578" s="38"/>
      <c r="E578" s="38"/>
      <c r="F578" s="38"/>
    </row>
    <row r="579" spans="1:6" x14ac:dyDescent="0.25">
      <c r="A579" s="112"/>
      <c r="B579" s="112"/>
      <c r="D579" s="137" t="s">
        <v>387</v>
      </c>
      <c r="E579" s="137"/>
      <c r="F579" s="137"/>
    </row>
    <row r="580" spans="1:6" x14ac:dyDescent="0.25">
      <c r="A580" s="133" t="s">
        <v>73</v>
      </c>
      <c r="B580" s="133"/>
      <c r="C580" s="133"/>
      <c r="D580" s="137" t="s">
        <v>74</v>
      </c>
      <c r="E580" s="137"/>
      <c r="F580" s="137"/>
    </row>
    <row r="581" spans="1:6" x14ac:dyDescent="0.25">
      <c r="A581" s="112"/>
      <c r="B581" s="112"/>
      <c r="D581" s="38"/>
      <c r="E581" s="38"/>
      <c r="F581" s="38"/>
    </row>
    <row r="582" spans="1:6" x14ac:dyDescent="0.25">
      <c r="A582" s="112"/>
      <c r="B582" s="112"/>
      <c r="D582" s="38"/>
      <c r="E582" s="38"/>
      <c r="F582" s="38"/>
    </row>
    <row r="583" spans="1:6" x14ac:dyDescent="0.25">
      <c r="A583" s="133" t="s">
        <v>75</v>
      </c>
      <c r="B583" s="133"/>
      <c r="C583" s="133"/>
      <c r="D583" s="137" t="s">
        <v>76</v>
      </c>
      <c r="E583" s="137"/>
      <c r="F583" s="137"/>
    </row>
    <row r="584" spans="1:6" x14ac:dyDescent="0.25">
      <c r="A584" s="112"/>
      <c r="B584" s="112"/>
      <c r="D584" s="38"/>
      <c r="E584" s="38"/>
      <c r="F584" s="38"/>
    </row>
    <row r="586" spans="1:6" ht="15.75" x14ac:dyDescent="0.25">
      <c r="A586" s="138" t="s">
        <v>19</v>
      </c>
      <c r="B586" s="139"/>
      <c r="C586" s="139"/>
      <c r="D586" s="139"/>
      <c r="E586" s="139"/>
      <c r="F586" s="140"/>
    </row>
    <row r="587" spans="1:6" ht="15.75" x14ac:dyDescent="0.25">
      <c r="A587" s="141" t="s">
        <v>388</v>
      </c>
      <c r="B587" s="142"/>
      <c r="C587" s="142"/>
      <c r="D587" s="142"/>
      <c r="E587" s="142"/>
      <c r="F587" s="143"/>
    </row>
    <row r="588" spans="1:6" x14ac:dyDescent="0.25">
      <c r="A588" s="14" t="s">
        <v>1</v>
      </c>
      <c r="B588" s="14" t="s">
        <v>21</v>
      </c>
      <c r="C588" s="14" t="s">
        <v>22</v>
      </c>
      <c r="D588" s="15" t="s">
        <v>23</v>
      </c>
      <c r="E588" s="15" t="s">
        <v>24</v>
      </c>
      <c r="F588" s="15" t="s">
        <v>5</v>
      </c>
    </row>
    <row r="589" spans="1:6" x14ac:dyDescent="0.25">
      <c r="A589" s="14">
        <v>1</v>
      </c>
      <c r="B589" s="16">
        <v>45870</v>
      </c>
      <c r="C589" s="17" t="s">
        <v>31</v>
      </c>
      <c r="D589" s="40">
        <v>960000</v>
      </c>
      <c r="E589" s="18"/>
      <c r="F589" s="18"/>
    </row>
    <row r="590" spans="1:6" x14ac:dyDescent="0.25">
      <c r="A590" s="14">
        <v>2</v>
      </c>
      <c r="B590" s="16">
        <v>45870</v>
      </c>
      <c r="C590" s="61" t="s">
        <v>27</v>
      </c>
      <c r="D590" s="15">
        <v>1230000</v>
      </c>
      <c r="E590" s="18"/>
      <c r="F590" s="18"/>
    </row>
    <row r="591" spans="1:6" x14ac:dyDescent="0.25">
      <c r="A591" s="14">
        <v>3</v>
      </c>
      <c r="B591" s="16">
        <v>45870</v>
      </c>
      <c r="C591" s="17" t="s">
        <v>389</v>
      </c>
      <c r="D591" s="40">
        <v>2125000</v>
      </c>
      <c r="E591" s="18"/>
      <c r="F591" s="18"/>
    </row>
    <row r="592" spans="1:6" x14ac:dyDescent="0.25">
      <c r="A592" s="14">
        <v>4</v>
      </c>
      <c r="B592" s="16">
        <v>45870</v>
      </c>
      <c r="C592" s="17" t="s">
        <v>32</v>
      </c>
      <c r="D592" s="40">
        <v>1125000</v>
      </c>
      <c r="E592" s="18"/>
      <c r="F592" s="18"/>
    </row>
    <row r="593" spans="1:6" x14ac:dyDescent="0.25">
      <c r="A593" s="14">
        <v>5</v>
      </c>
      <c r="B593" s="16">
        <v>45870</v>
      </c>
      <c r="C593" s="17" t="s">
        <v>390</v>
      </c>
      <c r="D593" s="40">
        <v>855000</v>
      </c>
      <c r="E593" s="18"/>
      <c r="F593" s="18"/>
    </row>
    <row r="594" spans="1:6" x14ac:dyDescent="0.25">
      <c r="A594" s="14">
        <v>6</v>
      </c>
      <c r="B594" s="16">
        <v>45871</v>
      </c>
      <c r="C594" s="17" t="s">
        <v>26</v>
      </c>
      <c r="D594" s="40">
        <v>840000</v>
      </c>
      <c r="E594" s="18"/>
      <c r="F594" s="18"/>
    </row>
    <row r="595" spans="1:6" x14ac:dyDescent="0.25">
      <c r="A595" s="14">
        <v>7</v>
      </c>
      <c r="B595" s="16">
        <v>45873</v>
      </c>
      <c r="C595" s="17" t="s">
        <v>391</v>
      </c>
      <c r="D595" s="40">
        <v>980000</v>
      </c>
      <c r="E595" s="18"/>
      <c r="F595" s="18"/>
    </row>
    <row r="596" spans="1:6" x14ac:dyDescent="0.25">
      <c r="A596" s="14">
        <v>8</v>
      </c>
      <c r="B596" s="16">
        <v>45873</v>
      </c>
      <c r="C596" s="17" t="s">
        <v>33</v>
      </c>
      <c r="D596" s="40">
        <v>1000000</v>
      </c>
      <c r="E596" s="18"/>
      <c r="F596" s="18"/>
    </row>
    <row r="597" spans="1:6" x14ac:dyDescent="0.25">
      <c r="A597" s="14">
        <v>9</v>
      </c>
      <c r="B597" s="16">
        <v>45873</v>
      </c>
      <c r="C597" s="17" t="s">
        <v>311</v>
      </c>
      <c r="D597" s="40">
        <v>1125000</v>
      </c>
      <c r="E597" s="18"/>
      <c r="F597" s="18"/>
    </row>
    <row r="598" spans="1:6" x14ac:dyDescent="0.25">
      <c r="A598" s="14">
        <v>10</v>
      </c>
      <c r="B598" s="16">
        <v>45873</v>
      </c>
      <c r="C598" s="17" t="s">
        <v>392</v>
      </c>
      <c r="D598" s="40">
        <v>775000</v>
      </c>
      <c r="E598" s="18"/>
      <c r="F598" s="18"/>
    </row>
    <row r="599" spans="1:6" x14ac:dyDescent="0.25">
      <c r="A599" s="14">
        <v>11</v>
      </c>
      <c r="B599" s="16">
        <v>45873</v>
      </c>
      <c r="C599" s="17" t="s">
        <v>29</v>
      </c>
      <c r="D599" s="40">
        <v>750000</v>
      </c>
      <c r="E599" s="18"/>
      <c r="F599" s="18"/>
    </row>
    <row r="600" spans="1:6" x14ac:dyDescent="0.25">
      <c r="A600" s="14">
        <v>12</v>
      </c>
      <c r="B600" s="16">
        <v>45873</v>
      </c>
      <c r="C600" s="17" t="s">
        <v>34</v>
      </c>
      <c r="D600" s="40">
        <v>1375000</v>
      </c>
      <c r="E600" s="18"/>
      <c r="F600" s="18"/>
    </row>
    <row r="601" spans="1:6" x14ac:dyDescent="0.25">
      <c r="A601" s="14">
        <v>13</v>
      </c>
      <c r="B601" s="16">
        <v>45874</v>
      </c>
      <c r="C601" s="17" t="s">
        <v>393</v>
      </c>
      <c r="D601" s="40">
        <v>1400000</v>
      </c>
      <c r="E601" s="18"/>
      <c r="F601" s="18"/>
    </row>
    <row r="602" spans="1:6" x14ac:dyDescent="0.25">
      <c r="A602" s="14">
        <v>14</v>
      </c>
      <c r="B602" s="16">
        <v>45874</v>
      </c>
      <c r="C602" s="17" t="s">
        <v>394</v>
      </c>
      <c r="D602" s="40">
        <v>780000</v>
      </c>
      <c r="E602" s="18"/>
      <c r="F602" s="18"/>
    </row>
    <row r="603" spans="1:6" x14ac:dyDescent="0.25">
      <c r="A603" s="14">
        <v>15</v>
      </c>
      <c r="B603" s="16">
        <v>45875</v>
      </c>
      <c r="C603" s="17" t="s">
        <v>317</v>
      </c>
      <c r="D603" s="40">
        <v>990000</v>
      </c>
      <c r="E603" s="18"/>
      <c r="F603" s="18"/>
    </row>
    <row r="604" spans="1:6" x14ac:dyDescent="0.25">
      <c r="A604" s="14">
        <v>16</v>
      </c>
      <c r="B604" s="16">
        <v>45875</v>
      </c>
      <c r="C604" s="17" t="s">
        <v>42</v>
      </c>
      <c r="D604" s="40">
        <v>1125000</v>
      </c>
      <c r="E604" s="18"/>
      <c r="F604" s="18"/>
    </row>
    <row r="605" spans="1:6" x14ac:dyDescent="0.25">
      <c r="A605" s="14">
        <v>17</v>
      </c>
      <c r="B605" s="16">
        <v>45876</v>
      </c>
      <c r="C605" s="17" t="s">
        <v>43</v>
      </c>
      <c r="D605" s="40">
        <v>450000</v>
      </c>
      <c r="E605" s="18"/>
      <c r="F605" s="18"/>
    </row>
    <row r="606" spans="1:6" x14ac:dyDescent="0.25">
      <c r="A606" s="14">
        <v>18</v>
      </c>
      <c r="B606" s="16">
        <v>45876</v>
      </c>
      <c r="C606" s="17" t="s">
        <v>395</v>
      </c>
      <c r="D606" s="40">
        <v>1365000</v>
      </c>
      <c r="E606" s="18"/>
      <c r="F606" s="18"/>
    </row>
    <row r="607" spans="1:6" x14ac:dyDescent="0.25">
      <c r="A607" s="14">
        <v>19</v>
      </c>
      <c r="B607" s="16">
        <v>45876</v>
      </c>
      <c r="C607" s="17" t="s">
        <v>89</v>
      </c>
      <c r="D607" s="40">
        <v>1500000</v>
      </c>
      <c r="E607" s="18"/>
      <c r="F607" s="18"/>
    </row>
    <row r="608" spans="1:6" x14ac:dyDescent="0.25">
      <c r="A608" s="14">
        <v>20</v>
      </c>
      <c r="B608" s="16">
        <v>45876</v>
      </c>
      <c r="C608" s="17" t="s">
        <v>396</v>
      </c>
      <c r="D608" s="40">
        <v>220000</v>
      </c>
      <c r="E608" s="18"/>
      <c r="F608" s="18"/>
    </row>
    <row r="609" spans="1:6" x14ac:dyDescent="0.25">
      <c r="A609" s="14">
        <v>21</v>
      </c>
      <c r="B609" s="16">
        <v>45877</v>
      </c>
      <c r="C609" s="17" t="s">
        <v>90</v>
      </c>
      <c r="D609" s="40">
        <v>1355000</v>
      </c>
      <c r="E609" s="18"/>
      <c r="F609" s="18"/>
    </row>
    <row r="610" spans="1:6" x14ac:dyDescent="0.25">
      <c r="A610" s="14">
        <v>22</v>
      </c>
      <c r="B610" s="16">
        <v>45877</v>
      </c>
      <c r="C610" s="17" t="s">
        <v>261</v>
      </c>
      <c r="D610" s="40">
        <v>1450000</v>
      </c>
      <c r="E610" s="18"/>
      <c r="F610" s="18"/>
    </row>
    <row r="611" spans="1:6" x14ac:dyDescent="0.25">
      <c r="A611" s="14">
        <v>23</v>
      </c>
      <c r="B611" s="16">
        <v>45877</v>
      </c>
      <c r="C611" s="17" t="s">
        <v>312</v>
      </c>
      <c r="D611" s="40">
        <v>625000</v>
      </c>
      <c r="E611" s="18"/>
      <c r="F611" s="18"/>
    </row>
    <row r="612" spans="1:6" x14ac:dyDescent="0.25">
      <c r="A612" s="14">
        <v>24</v>
      </c>
      <c r="B612" s="16">
        <v>45877</v>
      </c>
      <c r="C612" s="17" t="s">
        <v>313</v>
      </c>
      <c r="D612" s="40">
        <v>1375000</v>
      </c>
      <c r="E612" s="18"/>
      <c r="F612" s="18"/>
    </row>
    <row r="613" spans="1:6" x14ac:dyDescent="0.25">
      <c r="A613" s="14">
        <v>25</v>
      </c>
      <c r="B613" s="16">
        <v>45877</v>
      </c>
      <c r="C613" s="17" t="s">
        <v>315</v>
      </c>
      <c r="D613" s="40">
        <v>840000</v>
      </c>
      <c r="E613" s="18"/>
      <c r="F613" s="18"/>
    </row>
    <row r="614" spans="1:6" x14ac:dyDescent="0.25">
      <c r="A614" s="14">
        <v>26</v>
      </c>
      <c r="B614" s="16">
        <v>45881</v>
      </c>
      <c r="C614" s="17" t="s">
        <v>41</v>
      </c>
      <c r="D614" s="40">
        <v>750000</v>
      </c>
      <c r="E614" s="18"/>
      <c r="F614" s="18"/>
    </row>
    <row r="615" spans="1:6" x14ac:dyDescent="0.25">
      <c r="A615" s="14">
        <v>27</v>
      </c>
      <c r="B615" s="16">
        <v>45882</v>
      </c>
      <c r="C615" s="17" t="s">
        <v>397</v>
      </c>
      <c r="D615" s="40">
        <v>700000</v>
      </c>
      <c r="E615" s="18"/>
      <c r="F615" s="18"/>
    </row>
    <row r="616" spans="1:6" x14ac:dyDescent="0.25">
      <c r="A616" s="14">
        <v>28</v>
      </c>
      <c r="B616" s="16">
        <v>45882</v>
      </c>
      <c r="C616" s="17" t="s">
        <v>397</v>
      </c>
      <c r="D616" s="40">
        <v>1000000</v>
      </c>
      <c r="E616" s="18"/>
      <c r="F616" s="18"/>
    </row>
    <row r="617" spans="1:6" x14ac:dyDescent="0.25">
      <c r="A617" s="14">
        <v>29</v>
      </c>
      <c r="B617" s="16">
        <v>45883</v>
      </c>
      <c r="C617" s="17" t="s">
        <v>129</v>
      </c>
      <c r="D617" s="40">
        <v>1630000</v>
      </c>
      <c r="E617" s="18"/>
      <c r="F617" s="18"/>
    </row>
    <row r="618" spans="1:6" x14ac:dyDescent="0.25">
      <c r="A618" s="14">
        <v>30</v>
      </c>
      <c r="B618" s="16">
        <v>45888</v>
      </c>
      <c r="C618" s="17" t="s">
        <v>398</v>
      </c>
      <c r="D618" s="40">
        <v>630000</v>
      </c>
      <c r="E618" s="18"/>
      <c r="F618" s="18"/>
    </row>
    <row r="619" spans="1:6" x14ac:dyDescent="0.25">
      <c r="A619" s="14">
        <v>31</v>
      </c>
      <c r="B619" s="16">
        <v>45894</v>
      </c>
      <c r="C619" s="17" t="s">
        <v>399</v>
      </c>
      <c r="D619" s="40">
        <v>800000</v>
      </c>
      <c r="E619" s="18"/>
      <c r="F619" s="18"/>
    </row>
    <row r="620" spans="1:6" x14ac:dyDescent="0.25">
      <c r="A620" s="14">
        <v>32</v>
      </c>
      <c r="B620" s="16">
        <v>45894</v>
      </c>
      <c r="C620" s="17" t="s">
        <v>46</v>
      </c>
      <c r="D620" s="40">
        <v>1115000</v>
      </c>
      <c r="E620" s="18"/>
      <c r="F620" s="18"/>
    </row>
    <row r="621" spans="1:6" x14ac:dyDescent="0.25">
      <c r="A621" s="14">
        <v>33</v>
      </c>
      <c r="B621" s="16">
        <v>45894</v>
      </c>
      <c r="C621" s="17" t="s">
        <v>318</v>
      </c>
      <c r="D621" s="40">
        <v>475000</v>
      </c>
      <c r="E621" s="18"/>
      <c r="F621" s="18"/>
    </row>
    <row r="622" spans="1:6" x14ac:dyDescent="0.25">
      <c r="A622" s="14">
        <v>34</v>
      </c>
      <c r="B622" s="16">
        <v>45894</v>
      </c>
      <c r="C622" s="17" t="s">
        <v>318</v>
      </c>
      <c r="D622" s="40">
        <v>275000</v>
      </c>
      <c r="E622" s="18"/>
      <c r="F622" s="18"/>
    </row>
    <row r="623" spans="1:6" x14ac:dyDescent="0.25">
      <c r="A623" s="14">
        <v>35</v>
      </c>
      <c r="B623" s="16">
        <v>45896</v>
      </c>
      <c r="C623" s="17" t="s">
        <v>314</v>
      </c>
      <c r="D623" s="40">
        <v>900000</v>
      </c>
      <c r="E623" s="18"/>
      <c r="F623" s="18"/>
    </row>
    <row r="624" spans="1:6" x14ac:dyDescent="0.25">
      <c r="A624" s="14">
        <v>36</v>
      </c>
      <c r="B624" s="16">
        <v>45897</v>
      </c>
      <c r="C624" s="17" t="s">
        <v>78</v>
      </c>
      <c r="D624" s="40">
        <v>1125000</v>
      </c>
      <c r="E624" s="18"/>
      <c r="F624" s="18"/>
    </row>
    <row r="625" spans="1:6" x14ac:dyDescent="0.25">
      <c r="A625" s="14"/>
      <c r="B625" s="14"/>
      <c r="C625" s="20" t="s">
        <v>400</v>
      </c>
      <c r="D625" s="18"/>
      <c r="E625" s="18"/>
      <c r="F625" s="18"/>
    </row>
    <row r="626" spans="1:6" ht="15.75" x14ac:dyDescent="0.25">
      <c r="A626" s="14">
        <v>37</v>
      </c>
      <c r="B626" s="16">
        <v>45870</v>
      </c>
      <c r="C626" s="21" t="s">
        <v>50</v>
      </c>
      <c r="D626" s="18"/>
      <c r="E626" s="18">
        <v>1450000</v>
      </c>
      <c r="F626" s="18"/>
    </row>
    <row r="627" spans="1:6" ht="15.75" x14ac:dyDescent="0.25">
      <c r="A627" s="14">
        <v>38</v>
      </c>
      <c r="B627" s="14"/>
      <c r="C627" s="21" t="s">
        <v>51</v>
      </c>
      <c r="D627" s="18"/>
      <c r="E627" s="18">
        <v>1450000</v>
      </c>
      <c r="F627" s="18"/>
    </row>
    <row r="628" spans="1:6" ht="15.75" x14ac:dyDescent="0.25">
      <c r="A628" s="14">
        <v>39</v>
      </c>
      <c r="B628" s="14"/>
      <c r="C628" s="21" t="s">
        <v>53</v>
      </c>
      <c r="D628" s="18"/>
      <c r="E628" s="18">
        <v>1350000</v>
      </c>
      <c r="F628" s="18"/>
    </row>
    <row r="629" spans="1:6" ht="15.75" x14ac:dyDescent="0.25">
      <c r="A629" s="14">
        <v>40</v>
      </c>
      <c r="B629" s="14"/>
      <c r="C629" s="21" t="s">
        <v>401</v>
      </c>
      <c r="D629" s="18"/>
      <c r="E629" s="18">
        <v>1250000</v>
      </c>
      <c r="F629" s="18"/>
    </row>
    <row r="630" spans="1:6" ht="15.75" x14ac:dyDescent="0.25">
      <c r="A630" s="14">
        <v>41</v>
      </c>
      <c r="B630" s="14"/>
      <c r="C630" s="21" t="s">
        <v>402</v>
      </c>
      <c r="D630" s="40"/>
      <c r="E630" s="18">
        <v>1250000</v>
      </c>
      <c r="F630" s="18"/>
    </row>
    <row r="631" spans="1:6" ht="15.75" x14ac:dyDescent="0.25">
      <c r="A631" s="14">
        <v>42</v>
      </c>
      <c r="B631" s="14"/>
      <c r="C631" s="21" t="s">
        <v>133</v>
      </c>
      <c r="D631" s="18"/>
      <c r="E631" s="18">
        <v>200000</v>
      </c>
      <c r="F631" s="18"/>
    </row>
    <row r="632" spans="1:6" ht="15.75" x14ac:dyDescent="0.25">
      <c r="A632" s="14">
        <v>43</v>
      </c>
      <c r="B632" s="14"/>
      <c r="C632" s="21" t="s">
        <v>55</v>
      </c>
      <c r="D632" s="18"/>
      <c r="E632" s="18">
        <v>1140000</v>
      </c>
      <c r="F632" s="18"/>
    </row>
    <row r="633" spans="1:6" ht="15.75" x14ac:dyDescent="0.25">
      <c r="A633" s="14">
        <v>44</v>
      </c>
      <c r="B633" s="14"/>
      <c r="C633" s="21" t="s">
        <v>56</v>
      </c>
      <c r="D633" s="18"/>
      <c r="E633" s="18">
        <v>2260000</v>
      </c>
      <c r="F633" s="18"/>
    </row>
    <row r="634" spans="1:6" x14ac:dyDescent="0.25">
      <c r="A634" s="14">
        <v>45</v>
      </c>
      <c r="B634" s="16">
        <v>45870</v>
      </c>
      <c r="C634" s="19" t="s">
        <v>403</v>
      </c>
      <c r="D634" s="18"/>
      <c r="E634" s="18">
        <v>60000</v>
      </c>
      <c r="F634" s="18"/>
    </row>
    <row r="635" spans="1:6" x14ac:dyDescent="0.25">
      <c r="A635" s="14">
        <v>46</v>
      </c>
      <c r="B635" s="14"/>
      <c r="C635" s="19" t="s">
        <v>276</v>
      </c>
      <c r="D635" s="18"/>
      <c r="E635" s="18">
        <v>50000</v>
      </c>
      <c r="F635" s="18"/>
    </row>
    <row r="636" spans="1:6" x14ac:dyDescent="0.25">
      <c r="A636" s="14">
        <v>47</v>
      </c>
      <c r="B636" s="14"/>
      <c r="C636" s="19" t="s">
        <v>404</v>
      </c>
      <c r="D636" s="18"/>
      <c r="E636" s="18">
        <v>25000</v>
      </c>
      <c r="F636" s="18"/>
    </row>
    <row r="637" spans="1:6" x14ac:dyDescent="0.25">
      <c r="A637" s="14">
        <v>48</v>
      </c>
      <c r="B637" s="14"/>
      <c r="C637" s="19" t="s">
        <v>405</v>
      </c>
      <c r="D637" s="18"/>
      <c r="E637" s="18">
        <v>300000</v>
      </c>
      <c r="F637" s="18"/>
    </row>
    <row r="638" spans="1:6" x14ac:dyDescent="0.25">
      <c r="A638" s="14">
        <v>49</v>
      </c>
      <c r="B638" s="14"/>
      <c r="C638" s="19" t="s">
        <v>406</v>
      </c>
      <c r="D638" s="18"/>
      <c r="E638" s="18">
        <v>44000</v>
      </c>
      <c r="F638" s="18"/>
    </row>
    <row r="639" spans="1:6" x14ac:dyDescent="0.25">
      <c r="A639" s="14">
        <v>50</v>
      </c>
      <c r="B639" s="14"/>
      <c r="C639" s="19" t="s">
        <v>407</v>
      </c>
      <c r="D639" s="18"/>
      <c r="E639" s="18">
        <v>1511000</v>
      </c>
      <c r="F639" s="18"/>
    </row>
    <row r="640" spans="1:6" x14ac:dyDescent="0.25">
      <c r="A640" s="14">
        <v>51</v>
      </c>
      <c r="B640" s="14"/>
      <c r="C640" s="19" t="s">
        <v>408</v>
      </c>
      <c r="D640" s="18"/>
      <c r="E640" s="18">
        <v>54000</v>
      </c>
      <c r="F640" s="18"/>
    </row>
    <row r="641" spans="1:6" x14ac:dyDescent="0.25">
      <c r="A641" s="14">
        <v>52</v>
      </c>
      <c r="B641" s="14"/>
      <c r="C641" s="19" t="s">
        <v>409</v>
      </c>
      <c r="D641" s="18"/>
      <c r="E641" s="18">
        <v>25000</v>
      </c>
      <c r="F641" s="18"/>
    </row>
    <row r="642" spans="1:6" x14ac:dyDescent="0.25">
      <c r="A642" s="14">
        <v>53</v>
      </c>
      <c r="B642" s="14"/>
      <c r="C642" s="19" t="s">
        <v>410</v>
      </c>
      <c r="D642" s="18"/>
      <c r="E642" s="18">
        <v>400000</v>
      </c>
      <c r="F642" s="18"/>
    </row>
    <row r="643" spans="1:6" x14ac:dyDescent="0.25">
      <c r="A643" s="14">
        <v>54</v>
      </c>
      <c r="B643" s="14"/>
      <c r="C643" s="19" t="s">
        <v>411</v>
      </c>
      <c r="D643" s="18"/>
      <c r="E643" s="18">
        <v>45000</v>
      </c>
      <c r="F643" s="18"/>
    </row>
    <row r="644" spans="1:6" x14ac:dyDescent="0.25">
      <c r="A644" s="14">
        <v>55</v>
      </c>
      <c r="B644" s="14"/>
      <c r="C644" s="19" t="s">
        <v>412</v>
      </c>
      <c r="D644" s="18"/>
      <c r="E644" s="18">
        <v>90000</v>
      </c>
      <c r="F644" s="18"/>
    </row>
    <row r="645" spans="1:6" x14ac:dyDescent="0.25">
      <c r="A645" s="14">
        <v>56</v>
      </c>
      <c r="B645" s="14"/>
      <c r="C645" s="19" t="s">
        <v>413</v>
      </c>
      <c r="D645" s="18"/>
      <c r="E645" s="18">
        <v>37500</v>
      </c>
      <c r="F645" s="18"/>
    </row>
    <row r="646" spans="1:6" x14ac:dyDescent="0.25">
      <c r="A646" s="14">
        <v>57</v>
      </c>
      <c r="B646" s="14"/>
      <c r="C646" s="19" t="s">
        <v>414</v>
      </c>
      <c r="D646" s="18"/>
      <c r="E646" s="18">
        <v>6000</v>
      </c>
      <c r="F646" s="18"/>
    </row>
    <row r="647" spans="1:6" x14ac:dyDescent="0.25">
      <c r="A647" s="14">
        <v>58</v>
      </c>
      <c r="B647" s="14"/>
      <c r="C647" s="19" t="s">
        <v>415</v>
      </c>
      <c r="D647" s="18"/>
      <c r="E647" s="18">
        <v>300000</v>
      </c>
      <c r="F647" s="18"/>
    </row>
    <row r="648" spans="1:6" x14ac:dyDescent="0.25">
      <c r="A648" s="14">
        <v>59</v>
      </c>
      <c r="B648" s="16">
        <v>45873</v>
      </c>
      <c r="C648" s="19" t="s">
        <v>416</v>
      </c>
      <c r="D648" s="18"/>
      <c r="E648" s="18">
        <v>344000</v>
      </c>
      <c r="F648" s="18"/>
    </row>
    <row r="649" spans="1:6" x14ac:dyDescent="0.25">
      <c r="A649" s="14"/>
      <c r="B649" s="14"/>
      <c r="C649" s="19" t="s">
        <v>417</v>
      </c>
      <c r="D649" s="18"/>
      <c r="E649" s="18"/>
      <c r="F649" s="18"/>
    </row>
    <row r="650" spans="1:6" x14ac:dyDescent="0.25">
      <c r="A650" s="14">
        <v>60</v>
      </c>
      <c r="B650" s="14"/>
      <c r="C650" s="19" t="s">
        <v>418</v>
      </c>
      <c r="D650" s="18"/>
      <c r="E650" s="18">
        <v>70000</v>
      </c>
      <c r="F650" s="18"/>
    </row>
    <row r="651" spans="1:6" x14ac:dyDescent="0.25">
      <c r="A651" s="14">
        <v>61</v>
      </c>
      <c r="B651" s="14"/>
      <c r="C651" s="19" t="s">
        <v>419</v>
      </c>
      <c r="D651" s="18"/>
      <c r="E651" s="18">
        <v>102000</v>
      </c>
      <c r="F651" s="18"/>
    </row>
    <row r="652" spans="1:6" x14ac:dyDescent="0.25">
      <c r="A652" s="14">
        <v>62</v>
      </c>
      <c r="B652" s="14"/>
      <c r="C652" s="19" t="s">
        <v>420</v>
      </c>
      <c r="D652" s="18"/>
      <c r="E652" s="18">
        <v>108000</v>
      </c>
      <c r="F652" s="18"/>
    </row>
    <row r="653" spans="1:6" x14ac:dyDescent="0.25">
      <c r="A653" s="14">
        <v>63</v>
      </c>
      <c r="B653" s="14"/>
      <c r="C653" s="19" t="s">
        <v>421</v>
      </c>
      <c r="D653" s="18"/>
      <c r="E653" s="18">
        <v>30000</v>
      </c>
      <c r="F653" s="18"/>
    </row>
    <row r="654" spans="1:6" x14ac:dyDescent="0.25">
      <c r="A654" s="14"/>
      <c r="B654" s="14"/>
      <c r="C654" s="19"/>
      <c r="D654" s="18"/>
      <c r="E654" s="18"/>
      <c r="F654" s="18"/>
    </row>
    <row r="655" spans="1:6" x14ac:dyDescent="0.25">
      <c r="A655" s="42"/>
      <c r="B655" s="42"/>
      <c r="C655" s="35" t="s">
        <v>71</v>
      </c>
      <c r="D655" s="36">
        <f>SUM(D589:D654)</f>
        <v>36015000</v>
      </c>
      <c r="E655" s="36">
        <f>SUM(E589:E654)</f>
        <v>13951500</v>
      </c>
      <c r="F655" s="36">
        <f>D655-E655</f>
        <v>22063500</v>
      </c>
    </row>
    <row r="656" spans="1:6" x14ac:dyDescent="0.25">
      <c r="A656" s="112"/>
      <c r="B656" s="112"/>
      <c r="D656" s="38"/>
      <c r="E656" s="38"/>
      <c r="F656" s="38"/>
    </row>
    <row r="657" spans="1:6" x14ac:dyDescent="0.25">
      <c r="A657" s="112"/>
      <c r="B657" s="112"/>
      <c r="D657" s="137" t="s">
        <v>422</v>
      </c>
      <c r="E657" s="137"/>
      <c r="F657" s="137"/>
    </row>
    <row r="658" spans="1:6" x14ac:dyDescent="0.25">
      <c r="A658" s="133" t="s">
        <v>73</v>
      </c>
      <c r="B658" s="133"/>
      <c r="C658" s="133"/>
      <c r="D658" s="137" t="s">
        <v>74</v>
      </c>
      <c r="E658" s="137"/>
      <c r="F658" s="137"/>
    </row>
    <row r="659" spans="1:6" x14ac:dyDescent="0.25">
      <c r="A659" s="112"/>
      <c r="B659" s="112"/>
      <c r="D659" s="38"/>
      <c r="E659" s="38"/>
      <c r="F659" s="38"/>
    </row>
    <row r="660" spans="1:6" x14ac:dyDescent="0.25">
      <c r="A660" s="112"/>
      <c r="B660" s="112"/>
      <c r="D660" s="38"/>
      <c r="E660" s="38"/>
      <c r="F660" s="38"/>
    </row>
    <row r="661" spans="1:6" x14ac:dyDescent="0.25">
      <c r="A661" s="133" t="s">
        <v>75</v>
      </c>
      <c r="B661" s="133"/>
      <c r="C661" s="133"/>
      <c r="D661" s="137" t="s">
        <v>76</v>
      </c>
      <c r="E661" s="137"/>
      <c r="F661" s="137"/>
    </row>
    <row r="662" spans="1:6" x14ac:dyDescent="0.25">
      <c r="A662" s="112"/>
      <c r="B662" s="112"/>
      <c r="D662" s="38"/>
      <c r="E662" s="38"/>
      <c r="F662" s="38"/>
    </row>
    <row r="663" spans="1:6" x14ac:dyDescent="0.25">
      <c r="A663" s="112"/>
      <c r="B663" s="112"/>
      <c r="D663" s="38"/>
      <c r="E663" s="38"/>
      <c r="F663" s="38"/>
    </row>
    <row r="664" spans="1:6" x14ac:dyDescent="0.25">
      <c r="A664" s="112"/>
      <c r="B664" s="112"/>
      <c r="D664" s="38"/>
      <c r="E664" s="38"/>
      <c r="F664" s="38"/>
    </row>
    <row r="665" spans="1:6" x14ac:dyDescent="0.25">
      <c r="A665" s="112"/>
      <c r="B665" s="112"/>
      <c r="D665" s="38"/>
      <c r="E665" s="38"/>
      <c r="F665" s="38"/>
    </row>
    <row r="666" spans="1:6" ht="15.75" x14ac:dyDescent="0.25">
      <c r="A666" s="138" t="s">
        <v>19</v>
      </c>
      <c r="B666" s="139"/>
      <c r="C666" s="139"/>
      <c r="D666" s="139"/>
      <c r="E666" s="139"/>
      <c r="F666" s="140"/>
    </row>
    <row r="667" spans="1:6" ht="15.75" x14ac:dyDescent="0.25">
      <c r="A667" s="141" t="s">
        <v>423</v>
      </c>
      <c r="B667" s="142"/>
      <c r="C667" s="142"/>
      <c r="D667" s="142"/>
      <c r="E667" s="142"/>
      <c r="F667" s="143"/>
    </row>
    <row r="668" spans="1:6" x14ac:dyDescent="0.25">
      <c r="A668" s="14" t="s">
        <v>1</v>
      </c>
      <c r="B668" s="14" t="s">
        <v>21</v>
      </c>
      <c r="C668" s="14" t="s">
        <v>22</v>
      </c>
      <c r="D668" s="15" t="s">
        <v>23</v>
      </c>
      <c r="E668" s="15" t="s">
        <v>24</v>
      </c>
      <c r="F668" s="15" t="s">
        <v>5</v>
      </c>
    </row>
    <row r="669" spans="1:6" x14ac:dyDescent="0.25">
      <c r="A669" s="14">
        <v>1</v>
      </c>
      <c r="B669" s="16">
        <v>45899</v>
      </c>
      <c r="C669" s="104" t="s">
        <v>424</v>
      </c>
      <c r="D669" s="15">
        <v>900000</v>
      </c>
      <c r="E669" s="18"/>
      <c r="F669" s="18"/>
    </row>
    <row r="670" spans="1:6" x14ac:dyDescent="0.25">
      <c r="A670" s="14">
        <v>2</v>
      </c>
      <c r="B670" s="16">
        <v>45899</v>
      </c>
      <c r="C670" s="104" t="s">
        <v>26</v>
      </c>
      <c r="D670" s="15">
        <v>750000</v>
      </c>
      <c r="E670" s="18"/>
      <c r="F670" s="18"/>
    </row>
    <row r="671" spans="1:6" x14ac:dyDescent="0.25">
      <c r="A671" s="14">
        <v>3</v>
      </c>
      <c r="B671" s="16">
        <v>45901</v>
      </c>
      <c r="C671" s="104" t="s">
        <v>312</v>
      </c>
      <c r="D671" s="15">
        <v>625000</v>
      </c>
      <c r="E671" s="18"/>
      <c r="F671" s="18"/>
    </row>
    <row r="672" spans="1:6" x14ac:dyDescent="0.25">
      <c r="A672" s="14">
        <v>4</v>
      </c>
      <c r="B672" s="16">
        <v>45901</v>
      </c>
      <c r="C672" s="104" t="s">
        <v>391</v>
      </c>
      <c r="D672" s="15">
        <v>940000</v>
      </c>
      <c r="E672" s="18"/>
      <c r="F672" s="18"/>
    </row>
    <row r="673" spans="1:6" x14ac:dyDescent="0.25">
      <c r="A673" s="14">
        <v>5</v>
      </c>
      <c r="B673" s="16">
        <v>45901</v>
      </c>
      <c r="C673" s="104" t="s">
        <v>390</v>
      </c>
      <c r="D673" s="15">
        <v>915000</v>
      </c>
      <c r="E673" s="18"/>
      <c r="F673" s="18"/>
    </row>
    <row r="674" spans="1:6" x14ac:dyDescent="0.25">
      <c r="A674" s="14">
        <v>6</v>
      </c>
      <c r="B674" s="16">
        <v>45902</v>
      </c>
      <c r="C674" s="17" t="s">
        <v>27</v>
      </c>
      <c r="D674" s="15">
        <v>1170000</v>
      </c>
      <c r="E674" s="18"/>
      <c r="F674" s="18"/>
    </row>
    <row r="675" spans="1:6" x14ac:dyDescent="0.25">
      <c r="A675" s="14">
        <v>7</v>
      </c>
      <c r="B675" s="16">
        <v>45902</v>
      </c>
      <c r="C675" s="17" t="s">
        <v>392</v>
      </c>
      <c r="D675" s="40">
        <v>775000</v>
      </c>
      <c r="E675" s="18"/>
      <c r="F675" s="18"/>
    </row>
    <row r="676" spans="1:6" x14ac:dyDescent="0.25">
      <c r="A676" s="14">
        <v>8</v>
      </c>
      <c r="B676" s="16">
        <v>45902</v>
      </c>
      <c r="C676" s="17" t="s">
        <v>425</v>
      </c>
      <c r="D676" s="40">
        <v>1375000</v>
      </c>
      <c r="E676" s="18"/>
      <c r="F676" s="18"/>
    </row>
    <row r="677" spans="1:6" x14ac:dyDescent="0.25">
      <c r="A677" s="14">
        <v>9</v>
      </c>
      <c r="B677" s="16">
        <v>45902</v>
      </c>
      <c r="C677" s="17" t="s">
        <v>322</v>
      </c>
      <c r="D677" s="40">
        <v>1375000</v>
      </c>
      <c r="E677" s="18"/>
      <c r="F677" s="18"/>
    </row>
    <row r="678" spans="1:6" x14ac:dyDescent="0.25">
      <c r="A678" s="14">
        <v>10</v>
      </c>
      <c r="B678" s="16">
        <v>45902</v>
      </c>
      <c r="C678" s="104" t="s">
        <v>31</v>
      </c>
      <c r="D678" s="15">
        <v>910000</v>
      </c>
      <c r="E678" s="18"/>
      <c r="F678" s="18"/>
    </row>
    <row r="679" spans="1:6" x14ac:dyDescent="0.25">
      <c r="A679" s="14">
        <v>11</v>
      </c>
      <c r="B679" s="16">
        <v>45902</v>
      </c>
      <c r="C679" s="104" t="s">
        <v>261</v>
      </c>
      <c r="D679" s="15">
        <v>1325000</v>
      </c>
      <c r="E679" s="18"/>
      <c r="F679" s="18"/>
    </row>
    <row r="680" spans="1:6" x14ac:dyDescent="0.25">
      <c r="A680" s="14">
        <v>12</v>
      </c>
      <c r="B680" s="16">
        <v>45903</v>
      </c>
      <c r="C680" s="17" t="s">
        <v>32</v>
      </c>
      <c r="D680" s="40">
        <v>1125000</v>
      </c>
      <c r="E680" s="18"/>
      <c r="F680" s="18"/>
    </row>
    <row r="681" spans="1:6" x14ac:dyDescent="0.25">
      <c r="A681" s="14">
        <v>13</v>
      </c>
      <c r="B681" s="16">
        <v>45904</v>
      </c>
      <c r="C681" s="17" t="s">
        <v>41</v>
      </c>
      <c r="D681" s="40">
        <v>750000</v>
      </c>
      <c r="E681" s="18"/>
      <c r="F681" s="18"/>
    </row>
    <row r="682" spans="1:6" x14ac:dyDescent="0.25">
      <c r="A682" s="14">
        <v>14</v>
      </c>
      <c r="B682" s="16">
        <v>45904</v>
      </c>
      <c r="C682" s="17" t="s">
        <v>317</v>
      </c>
      <c r="D682" s="40">
        <v>1060000</v>
      </c>
      <c r="E682" s="18"/>
      <c r="F682" s="18"/>
    </row>
    <row r="683" spans="1:6" x14ac:dyDescent="0.25">
      <c r="A683" s="14">
        <v>15</v>
      </c>
      <c r="B683" s="16">
        <v>45906</v>
      </c>
      <c r="C683" s="17" t="s">
        <v>310</v>
      </c>
      <c r="D683" s="40">
        <v>1350000</v>
      </c>
      <c r="E683" s="18"/>
      <c r="F683" s="18"/>
    </row>
    <row r="684" spans="1:6" x14ac:dyDescent="0.25">
      <c r="A684" s="14">
        <v>16</v>
      </c>
      <c r="B684" s="16">
        <v>45906</v>
      </c>
      <c r="C684" s="17" t="s">
        <v>90</v>
      </c>
      <c r="D684" s="40">
        <v>1325000</v>
      </c>
      <c r="E684" s="18"/>
      <c r="F684" s="18"/>
    </row>
    <row r="685" spans="1:6" x14ac:dyDescent="0.25">
      <c r="A685" s="14">
        <v>17</v>
      </c>
      <c r="B685" s="16">
        <v>45908</v>
      </c>
      <c r="C685" s="17" t="s">
        <v>389</v>
      </c>
      <c r="D685" s="40">
        <v>2195000</v>
      </c>
      <c r="E685" s="18"/>
      <c r="F685" s="18"/>
    </row>
    <row r="686" spans="1:6" x14ac:dyDescent="0.25">
      <c r="A686" s="14">
        <v>18</v>
      </c>
      <c r="B686" s="16">
        <v>45908</v>
      </c>
      <c r="C686" s="17" t="s">
        <v>33</v>
      </c>
      <c r="D686" s="40">
        <v>650000</v>
      </c>
      <c r="E686" s="18"/>
      <c r="F686" s="18"/>
    </row>
    <row r="687" spans="1:6" x14ac:dyDescent="0.25">
      <c r="A687" s="14">
        <v>19</v>
      </c>
      <c r="B687" s="16">
        <v>45908</v>
      </c>
      <c r="C687" s="17" t="s">
        <v>33</v>
      </c>
      <c r="D687" s="40">
        <v>100000</v>
      </c>
      <c r="E687" s="18"/>
      <c r="F687" s="18"/>
    </row>
    <row r="688" spans="1:6" x14ac:dyDescent="0.25">
      <c r="A688" s="14">
        <v>20</v>
      </c>
      <c r="B688" s="16">
        <v>45908</v>
      </c>
      <c r="C688" s="17" t="s">
        <v>321</v>
      </c>
      <c r="D688" s="40">
        <v>1305000</v>
      </c>
      <c r="E688" s="18"/>
      <c r="F688" s="18"/>
    </row>
    <row r="689" spans="1:6" x14ac:dyDescent="0.25">
      <c r="A689" s="14">
        <v>21</v>
      </c>
      <c r="B689" s="16">
        <v>45908</v>
      </c>
      <c r="C689" s="17" t="s">
        <v>394</v>
      </c>
      <c r="D689" s="40">
        <v>750000</v>
      </c>
      <c r="E689" s="18"/>
      <c r="F689" s="18"/>
    </row>
    <row r="690" spans="1:6" x14ac:dyDescent="0.25">
      <c r="A690" s="14">
        <v>22</v>
      </c>
      <c r="B690" s="16">
        <v>45908</v>
      </c>
      <c r="C690" s="17" t="s">
        <v>399</v>
      </c>
      <c r="D690" s="40">
        <v>1375000</v>
      </c>
      <c r="E690" s="18"/>
      <c r="F690" s="18"/>
    </row>
    <row r="691" spans="1:6" x14ac:dyDescent="0.25">
      <c r="A691" s="14">
        <v>23</v>
      </c>
      <c r="B691" s="16">
        <v>45908</v>
      </c>
      <c r="C691" s="17" t="s">
        <v>313</v>
      </c>
      <c r="D691" s="40">
        <v>1375000</v>
      </c>
      <c r="E691" s="18"/>
      <c r="F691" s="18"/>
    </row>
    <row r="692" spans="1:6" x14ac:dyDescent="0.25">
      <c r="A692" s="14">
        <v>24</v>
      </c>
      <c r="B692" s="16">
        <v>45908</v>
      </c>
      <c r="C692" s="17" t="s">
        <v>426</v>
      </c>
      <c r="D692" s="40">
        <v>850000</v>
      </c>
      <c r="E692" s="18"/>
      <c r="F692" s="18"/>
    </row>
    <row r="693" spans="1:6" x14ac:dyDescent="0.25">
      <c r="A693" s="14">
        <v>25</v>
      </c>
      <c r="B693" s="16">
        <v>45908</v>
      </c>
      <c r="C693" s="17" t="s">
        <v>89</v>
      </c>
      <c r="D693" s="40">
        <v>1250000</v>
      </c>
      <c r="E693" s="18"/>
      <c r="F693" s="18"/>
    </row>
    <row r="694" spans="1:6" x14ac:dyDescent="0.25">
      <c r="A694" s="14">
        <v>26</v>
      </c>
      <c r="B694" s="16">
        <v>45909</v>
      </c>
      <c r="C694" s="17" t="s">
        <v>315</v>
      </c>
      <c r="D694" s="40">
        <v>860000</v>
      </c>
      <c r="E694" s="18"/>
      <c r="F694" s="18"/>
    </row>
    <row r="695" spans="1:6" x14ac:dyDescent="0.25">
      <c r="A695" s="14">
        <v>27</v>
      </c>
      <c r="B695" s="16">
        <v>45910</v>
      </c>
      <c r="C695" s="17" t="s">
        <v>311</v>
      </c>
      <c r="D695" s="40">
        <v>1125000</v>
      </c>
      <c r="E695" s="18"/>
      <c r="F695" s="18"/>
    </row>
    <row r="696" spans="1:6" x14ac:dyDescent="0.25">
      <c r="A696" s="14">
        <v>28</v>
      </c>
      <c r="B696" s="16">
        <v>45911</v>
      </c>
      <c r="C696" s="17" t="s">
        <v>427</v>
      </c>
      <c r="D696" s="40">
        <v>1500000</v>
      </c>
      <c r="E696" s="18"/>
      <c r="F696" s="18"/>
    </row>
    <row r="697" spans="1:6" x14ac:dyDescent="0.25">
      <c r="A697" s="14">
        <v>29</v>
      </c>
      <c r="B697" s="16">
        <v>45912</v>
      </c>
      <c r="C697" s="17" t="s">
        <v>29</v>
      </c>
      <c r="D697" s="40">
        <v>750000</v>
      </c>
      <c r="E697" s="18"/>
      <c r="F697" s="18"/>
    </row>
    <row r="698" spans="1:6" x14ac:dyDescent="0.25">
      <c r="A698" s="14">
        <v>30</v>
      </c>
      <c r="B698" s="16">
        <v>45913</v>
      </c>
      <c r="C698" s="17" t="s">
        <v>45</v>
      </c>
      <c r="D698" s="40">
        <v>1315000</v>
      </c>
      <c r="E698" s="18"/>
      <c r="F698" s="18"/>
    </row>
    <row r="699" spans="1:6" x14ac:dyDescent="0.25">
      <c r="A699" s="14">
        <v>31</v>
      </c>
      <c r="B699" s="16">
        <v>45917</v>
      </c>
      <c r="C699" s="17" t="s">
        <v>320</v>
      </c>
      <c r="D699" s="40">
        <v>1375000</v>
      </c>
      <c r="E699" s="18"/>
      <c r="F699" s="18"/>
    </row>
    <row r="700" spans="1:6" x14ac:dyDescent="0.25">
      <c r="A700" s="14">
        <v>32</v>
      </c>
      <c r="B700" s="16">
        <v>45917</v>
      </c>
      <c r="C700" s="17" t="s">
        <v>42</v>
      </c>
      <c r="D700" s="40">
        <v>1125000</v>
      </c>
      <c r="E700" s="18"/>
      <c r="F700" s="18"/>
    </row>
    <row r="701" spans="1:6" x14ac:dyDescent="0.25">
      <c r="A701" s="14">
        <v>33</v>
      </c>
      <c r="B701" s="16">
        <v>45922</v>
      </c>
      <c r="C701" s="17" t="s">
        <v>319</v>
      </c>
      <c r="D701" s="40">
        <v>800000</v>
      </c>
      <c r="E701" s="18"/>
      <c r="F701" s="18"/>
    </row>
    <row r="702" spans="1:6" x14ac:dyDescent="0.25">
      <c r="A702" s="14">
        <v>34</v>
      </c>
      <c r="B702" s="16">
        <v>45923</v>
      </c>
      <c r="C702" s="17" t="s">
        <v>318</v>
      </c>
      <c r="D702" s="40">
        <v>750000</v>
      </c>
      <c r="E702" s="18"/>
      <c r="F702" s="18"/>
    </row>
    <row r="703" spans="1:6" x14ac:dyDescent="0.25">
      <c r="A703" s="14">
        <v>35</v>
      </c>
      <c r="B703" s="16">
        <v>45924</v>
      </c>
      <c r="C703" s="17" t="s">
        <v>428</v>
      </c>
      <c r="D703" s="40">
        <v>1860000</v>
      </c>
      <c r="E703" s="18"/>
      <c r="F703" s="18"/>
    </row>
    <row r="704" spans="1:6" x14ac:dyDescent="0.25">
      <c r="A704" s="14">
        <v>36</v>
      </c>
      <c r="B704" s="16">
        <v>45924</v>
      </c>
      <c r="C704" s="17" t="s">
        <v>37</v>
      </c>
      <c r="D704" s="40">
        <v>75000</v>
      </c>
      <c r="E704" s="18"/>
      <c r="F704" s="18"/>
    </row>
    <row r="705" spans="1:6" x14ac:dyDescent="0.25">
      <c r="A705" s="14"/>
      <c r="B705" s="16"/>
      <c r="C705" s="41" t="s">
        <v>132</v>
      </c>
      <c r="D705" s="40"/>
      <c r="E705" s="18"/>
      <c r="F705" s="18"/>
    </row>
    <row r="706" spans="1:6" ht="15.75" x14ac:dyDescent="0.25">
      <c r="A706" s="14">
        <v>37</v>
      </c>
      <c r="B706" s="16"/>
      <c r="C706" s="21" t="s">
        <v>50</v>
      </c>
      <c r="D706" s="18"/>
      <c r="E706" s="18">
        <v>1450000</v>
      </c>
      <c r="F706" s="18"/>
    </row>
    <row r="707" spans="1:6" ht="15.75" x14ac:dyDescent="0.25">
      <c r="A707" s="14">
        <v>38</v>
      </c>
      <c r="B707" s="14"/>
      <c r="C707" s="21" t="s">
        <v>51</v>
      </c>
      <c r="D707" s="18"/>
      <c r="E707" s="18">
        <v>1450000</v>
      </c>
      <c r="F707" s="18"/>
    </row>
    <row r="708" spans="1:6" ht="15.75" x14ac:dyDescent="0.25">
      <c r="A708" s="14">
        <v>39</v>
      </c>
      <c r="B708" s="14"/>
      <c r="C708" s="21" t="s">
        <v>429</v>
      </c>
      <c r="D708" s="18"/>
      <c r="E708" s="18">
        <v>1350000</v>
      </c>
      <c r="F708" s="18"/>
    </row>
    <row r="709" spans="1:6" ht="15.75" x14ac:dyDescent="0.25">
      <c r="A709" s="14">
        <v>40</v>
      </c>
      <c r="B709" s="14"/>
      <c r="C709" s="21" t="s">
        <v>401</v>
      </c>
      <c r="D709" s="18"/>
      <c r="E709" s="18">
        <v>1200000</v>
      </c>
      <c r="F709" s="18"/>
    </row>
    <row r="710" spans="1:6" ht="15.75" x14ac:dyDescent="0.25">
      <c r="A710" s="14">
        <v>41</v>
      </c>
      <c r="B710" s="14"/>
      <c r="C710" s="21" t="s">
        <v>402</v>
      </c>
      <c r="D710" s="40"/>
      <c r="E710" s="18">
        <v>1200000</v>
      </c>
      <c r="F710" s="18"/>
    </row>
    <row r="711" spans="1:6" ht="15.75" x14ac:dyDescent="0.25">
      <c r="A711" s="14">
        <v>42</v>
      </c>
      <c r="B711" s="16"/>
      <c r="C711" s="21" t="s">
        <v>430</v>
      </c>
      <c r="D711" s="40"/>
      <c r="E711" s="18">
        <v>1200000</v>
      </c>
      <c r="F711" s="18"/>
    </row>
    <row r="712" spans="1:6" ht="15.75" x14ac:dyDescent="0.25">
      <c r="A712" s="14">
        <v>43</v>
      </c>
      <c r="B712" s="16"/>
      <c r="C712" s="21" t="s">
        <v>431</v>
      </c>
      <c r="D712" s="40"/>
      <c r="E712" s="18">
        <v>1200000</v>
      </c>
      <c r="F712" s="18"/>
    </row>
    <row r="713" spans="1:6" x14ac:dyDescent="0.25">
      <c r="A713" s="14">
        <v>44</v>
      </c>
      <c r="B713" s="16"/>
      <c r="C713" s="17" t="s">
        <v>55</v>
      </c>
      <c r="D713" s="40"/>
      <c r="E713" s="18">
        <v>1020000</v>
      </c>
      <c r="F713" s="18"/>
    </row>
    <row r="714" spans="1:6" x14ac:dyDescent="0.25">
      <c r="A714" s="14">
        <v>45</v>
      </c>
      <c r="B714" s="16"/>
      <c r="C714" s="17" t="s">
        <v>54</v>
      </c>
      <c r="D714" s="40"/>
      <c r="E714" s="40">
        <v>200000</v>
      </c>
      <c r="F714" s="18"/>
    </row>
    <row r="715" spans="1:6" x14ac:dyDescent="0.25">
      <c r="A715" s="14">
        <v>46</v>
      </c>
      <c r="B715" s="16"/>
      <c r="C715" s="17" t="s">
        <v>432</v>
      </c>
      <c r="D715" s="40"/>
      <c r="E715" s="40">
        <v>2220000</v>
      </c>
      <c r="F715" s="18"/>
    </row>
    <row r="716" spans="1:6" x14ac:dyDescent="0.25">
      <c r="A716" s="14">
        <v>47</v>
      </c>
      <c r="B716" s="16"/>
      <c r="C716" s="17" t="s">
        <v>433</v>
      </c>
      <c r="D716" s="40"/>
      <c r="E716" s="40">
        <v>152000</v>
      </c>
      <c r="F716" s="18"/>
    </row>
    <row r="717" spans="1:6" x14ac:dyDescent="0.25">
      <c r="A717" s="14">
        <v>48</v>
      </c>
      <c r="B717" s="16"/>
      <c r="C717" s="17" t="s">
        <v>434</v>
      </c>
      <c r="D717" s="40"/>
      <c r="E717" s="40">
        <v>104000</v>
      </c>
      <c r="F717" s="18"/>
    </row>
    <row r="718" spans="1:6" x14ac:dyDescent="0.25">
      <c r="A718" s="14">
        <v>49</v>
      </c>
      <c r="B718" s="16"/>
      <c r="C718" s="17" t="s">
        <v>435</v>
      </c>
      <c r="D718" s="40"/>
      <c r="E718" s="40">
        <v>31500</v>
      </c>
      <c r="F718" s="18"/>
    </row>
    <row r="719" spans="1:6" x14ac:dyDescent="0.25">
      <c r="A719" s="14">
        <v>50</v>
      </c>
      <c r="B719" s="16"/>
      <c r="C719" s="17" t="s">
        <v>436</v>
      </c>
      <c r="D719" s="40"/>
      <c r="E719" s="40">
        <v>38000</v>
      </c>
      <c r="F719" s="18"/>
    </row>
    <row r="720" spans="1:6" x14ac:dyDescent="0.25">
      <c r="A720" s="14">
        <v>51</v>
      </c>
      <c r="B720" s="16"/>
      <c r="C720" s="17" t="s">
        <v>94</v>
      </c>
      <c r="D720" s="40"/>
      <c r="E720" s="40">
        <v>305000</v>
      </c>
      <c r="F720" s="18"/>
    </row>
    <row r="721" spans="1:6" x14ac:dyDescent="0.25">
      <c r="A721" s="14">
        <v>52</v>
      </c>
      <c r="B721" s="16"/>
      <c r="C721" s="17" t="s">
        <v>437</v>
      </c>
      <c r="D721" s="40"/>
      <c r="E721" s="40">
        <v>1510000</v>
      </c>
      <c r="F721" s="18"/>
    </row>
    <row r="722" spans="1:6" x14ac:dyDescent="0.25">
      <c r="A722" s="14">
        <v>53</v>
      </c>
      <c r="B722" s="16"/>
      <c r="C722" s="17" t="s">
        <v>337</v>
      </c>
      <c r="D722" s="40"/>
      <c r="E722" s="40">
        <v>175000</v>
      </c>
      <c r="F722" s="18"/>
    </row>
    <row r="723" spans="1:6" x14ac:dyDescent="0.25">
      <c r="A723" s="14">
        <v>54</v>
      </c>
      <c r="B723" s="16"/>
      <c r="C723" s="17" t="s">
        <v>68</v>
      </c>
      <c r="D723" s="40"/>
      <c r="E723" s="40">
        <v>25000</v>
      </c>
      <c r="F723" s="18"/>
    </row>
    <row r="724" spans="1:6" x14ac:dyDescent="0.25">
      <c r="A724" s="22">
        <v>55</v>
      </c>
      <c r="B724" s="114"/>
      <c r="C724" s="106" t="s">
        <v>438</v>
      </c>
      <c r="D724" s="46"/>
      <c r="E724" s="46">
        <v>70000</v>
      </c>
      <c r="F724" s="25"/>
    </row>
    <row r="725" spans="1:6" x14ac:dyDescent="0.25">
      <c r="A725" s="144">
        <v>56</v>
      </c>
      <c r="B725" s="148"/>
      <c r="C725" s="106" t="s">
        <v>439</v>
      </c>
      <c r="D725" s="46"/>
      <c r="E725" s="46">
        <v>586500</v>
      </c>
      <c r="F725" s="150"/>
    </row>
    <row r="726" spans="1:6" x14ac:dyDescent="0.25">
      <c r="A726" s="145"/>
      <c r="B726" s="149"/>
      <c r="C726" s="64" t="s">
        <v>440</v>
      </c>
      <c r="D726" s="54"/>
      <c r="E726" s="54"/>
      <c r="F726" s="151"/>
    </row>
    <row r="727" spans="1:6" x14ac:dyDescent="0.25">
      <c r="A727" s="29">
        <v>57</v>
      </c>
      <c r="B727" s="115"/>
      <c r="C727" s="64" t="s">
        <v>441</v>
      </c>
      <c r="D727" s="54"/>
      <c r="E727" s="54">
        <v>54000</v>
      </c>
      <c r="F727" s="32"/>
    </row>
    <row r="728" spans="1:6" x14ac:dyDescent="0.25">
      <c r="A728" s="14">
        <v>58</v>
      </c>
      <c r="B728" s="16"/>
      <c r="C728" s="17" t="s">
        <v>442</v>
      </c>
      <c r="D728" s="40"/>
      <c r="E728" s="40">
        <v>100000</v>
      </c>
      <c r="F728" s="18"/>
    </row>
    <row r="729" spans="1:6" x14ac:dyDescent="0.25">
      <c r="A729" s="144">
        <v>59</v>
      </c>
      <c r="B729" s="148"/>
      <c r="C729" s="152" t="s">
        <v>443</v>
      </c>
      <c r="D729" s="154"/>
      <c r="E729" s="156">
        <v>260000</v>
      </c>
      <c r="F729" s="150"/>
    </row>
    <row r="730" spans="1:6" x14ac:dyDescent="0.25">
      <c r="A730" s="145"/>
      <c r="B730" s="149"/>
      <c r="C730" s="153"/>
      <c r="D730" s="155"/>
      <c r="E730" s="157"/>
      <c r="F730" s="151"/>
    </row>
    <row r="731" spans="1:6" x14ac:dyDescent="0.25">
      <c r="A731" s="14">
        <v>60</v>
      </c>
      <c r="B731" s="16"/>
      <c r="C731" s="17" t="s">
        <v>444</v>
      </c>
      <c r="D731" s="40"/>
      <c r="E731" s="40">
        <v>66000</v>
      </c>
      <c r="F731" s="18"/>
    </row>
    <row r="732" spans="1:6" x14ac:dyDescent="0.25">
      <c r="A732" s="14">
        <v>61</v>
      </c>
      <c r="B732" s="16">
        <v>45908</v>
      </c>
      <c r="C732" s="17" t="s">
        <v>445</v>
      </c>
      <c r="D732" s="40"/>
      <c r="E732" s="40">
        <v>104000</v>
      </c>
      <c r="F732" s="18"/>
    </row>
    <row r="733" spans="1:6" x14ac:dyDescent="0.25">
      <c r="A733" s="14">
        <v>62</v>
      </c>
      <c r="B733" s="16"/>
      <c r="C733" s="17" t="s">
        <v>446</v>
      </c>
      <c r="D733" s="40"/>
      <c r="E733" s="40">
        <v>170000</v>
      </c>
      <c r="F733" s="18"/>
    </row>
    <row r="734" spans="1:6" x14ac:dyDescent="0.25">
      <c r="A734" s="14">
        <v>63</v>
      </c>
      <c r="B734" s="16"/>
      <c r="C734" s="17" t="s">
        <v>447</v>
      </c>
      <c r="D734" s="40"/>
      <c r="E734" s="40">
        <v>100000</v>
      </c>
      <c r="F734" s="18"/>
    </row>
    <row r="735" spans="1:6" ht="30" x14ac:dyDescent="0.25">
      <c r="A735" s="107">
        <v>64</v>
      </c>
      <c r="B735" s="16"/>
      <c r="C735" s="108" t="s">
        <v>448</v>
      </c>
      <c r="D735" s="40"/>
      <c r="E735" s="109">
        <v>1350000</v>
      </c>
      <c r="F735" s="18"/>
    </row>
    <row r="736" spans="1:6" x14ac:dyDescent="0.25">
      <c r="A736" s="14">
        <v>65</v>
      </c>
      <c r="B736" s="16"/>
      <c r="C736" s="17" t="s">
        <v>449</v>
      </c>
      <c r="D736" s="40"/>
      <c r="E736" s="40">
        <v>650000</v>
      </c>
      <c r="F736" s="18"/>
    </row>
    <row r="737" spans="1:6" x14ac:dyDescent="0.25">
      <c r="A737" s="14">
        <v>66</v>
      </c>
      <c r="B737" s="16"/>
      <c r="C737" s="17" t="s">
        <v>450</v>
      </c>
      <c r="D737" s="40"/>
      <c r="E737" s="40">
        <v>507000</v>
      </c>
      <c r="F737" s="18"/>
    </row>
    <row r="738" spans="1:6" x14ac:dyDescent="0.25">
      <c r="A738" s="14">
        <v>67</v>
      </c>
      <c r="B738" s="16"/>
      <c r="C738" s="17" t="s">
        <v>172</v>
      </c>
      <c r="D738" s="40"/>
      <c r="E738" s="40">
        <v>50000</v>
      </c>
      <c r="F738" s="18"/>
    </row>
    <row r="739" spans="1:6" x14ac:dyDescent="0.25">
      <c r="A739" s="14">
        <v>68</v>
      </c>
      <c r="B739" s="16"/>
      <c r="C739" s="17" t="s">
        <v>451</v>
      </c>
      <c r="D739" s="40"/>
      <c r="E739" s="40">
        <v>279000</v>
      </c>
      <c r="F739" s="18"/>
    </row>
    <row r="740" spans="1:6" x14ac:dyDescent="0.25">
      <c r="A740" s="14">
        <v>69</v>
      </c>
      <c r="B740" s="16"/>
      <c r="C740" s="17" t="s">
        <v>452</v>
      </c>
      <c r="D740" s="40"/>
      <c r="E740" s="40">
        <v>340000</v>
      </c>
      <c r="F740" s="18"/>
    </row>
    <row r="741" spans="1:6" x14ac:dyDescent="0.25">
      <c r="A741" s="14">
        <v>70</v>
      </c>
      <c r="B741" s="16"/>
      <c r="C741" s="17" t="s">
        <v>453</v>
      </c>
      <c r="D741" s="40"/>
      <c r="E741" s="40">
        <v>7586000</v>
      </c>
      <c r="F741" s="18"/>
    </row>
    <row r="742" spans="1:6" x14ac:dyDescent="0.25">
      <c r="A742" s="14">
        <v>71</v>
      </c>
      <c r="B742" s="16"/>
      <c r="C742" s="17" t="s">
        <v>454</v>
      </c>
      <c r="D742" s="40"/>
      <c r="E742" s="40">
        <v>240000</v>
      </c>
      <c r="F742" s="18"/>
    </row>
    <row r="743" spans="1:6" x14ac:dyDescent="0.25">
      <c r="A743" s="14">
        <v>72</v>
      </c>
      <c r="B743" s="16"/>
      <c r="C743" s="17" t="s">
        <v>455</v>
      </c>
      <c r="D743" s="40"/>
      <c r="E743" s="40">
        <v>24000</v>
      </c>
      <c r="F743" s="18"/>
    </row>
    <row r="744" spans="1:6" x14ac:dyDescent="0.25">
      <c r="A744" s="14">
        <v>73</v>
      </c>
      <c r="B744" s="16"/>
      <c r="C744" s="17" t="s">
        <v>456</v>
      </c>
      <c r="D744" s="40"/>
      <c r="E744" s="40">
        <v>49800</v>
      </c>
      <c r="F744" s="18"/>
    </row>
    <row r="745" spans="1:6" x14ac:dyDescent="0.25">
      <c r="A745" s="14">
        <v>74</v>
      </c>
      <c r="B745" s="16">
        <v>45928</v>
      </c>
      <c r="C745" s="17" t="s">
        <v>457</v>
      </c>
      <c r="D745" s="40"/>
      <c r="E745" s="18">
        <v>100000</v>
      </c>
      <c r="F745" s="18"/>
    </row>
    <row r="746" spans="1:6" ht="45" x14ac:dyDescent="0.25">
      <c r="A746" s="107">
        <v>75</v>
      </c>
      <c r="B746" s="16"/>
      <c r="C746" s="110" t="s">
        <v>458</v>
      </c>
      <c r="D746" s="40"/>
      <c r="E746" s="18">
        <v>72000</v>
      </c>
      <c r="F746" s="18"/>
    </row>
    <row r="747" spans="1:6" x14ac:dyDescent="0.25">
      <c r="A747" s="14"/>
      <c r="B747" s="14"/>
      <c r="C747" s="19"/>
      <c r="D747" s="18"/>
      <c r="E747" s="18"/>
      <c r="F747" s="18"/>
    </row>
    <row r="748" spans="1:6" x14ac:dyDescent="0.25">
      <c r="A748" s="111"/>
      <c r="B748" s="111"/>
      <c r="C748" s="35" t="s">
        <v>71</v>
      </c>
      <c r="D748" s="36">
        <f>SUM(D669:D747)</f>
        <v>38055000</v>
      </c>
      <c r="E748" s="36">
        <f>SUM(E706:E747)</f>
        <v>27588800</v>
      </c>
      <c r="F748" s="36">
        <f>D748-E748</f>
        <v>10466200</v>
      </c>
    </row>
    <row r="749" spans="1:6" x14ac:dyDescent="0.25">
      <c r="A749" s="112"/>
      <c r="B749" s="112"/>
      <c r="D749" s="38"/>
      <c r="E749" s="38"/>
      <c r="F749" s="38"/>
    </row>
    <row r="750" spans="1:6" x14ac:dyDescent="0.25">
      <c r="A750" s="112"/>
      <c r="B750" s="112"/>
      <c r="D750" s="137" t="s">
        <v>459</v>
      </c>
      <c r="E750" s="137"/>
      <c r="F750" s="137"/>
    </row>
    <row r="751" spans="1:6" x14ac:dyDescent="0.25">
      <c r="A751" s="133" t="s">
        <v>73</v>
      </c>
      <c r="B751" s="133"/>
      <c r="C751" s="133"/>
      <c r="D751" s="137" t="s">
        <v>74</v>
      </c>
      <c r="E751" s="137"/>
      <c r="F751" s="137"/>
    </row>
    <row r="752" spans="1:6" x14ac:dyDescent="0.25">
      <c r="A752" s="112"/>
      <c r="B752" s="112"/>
      <c r="D752" s="38"/>
      <c r="E752" s="38"/>
      <c r="F752" s="38"/>
    </row>
    <row r="753" spans="1:6" x14ac:dyDescent="0.25">
      <c r="A753" s="112"/>
      <c r="B753" s="112"/>
      <c r="D753" s="38"/>
      <c r="E753" s="38"/>
      <c r="F753" s="38"/>
    </row>
    <row r="754" spans="1:6" x14ac:dyDescent="0.25">
      <c r="A754" s="133" t="s">
        <v>75</v>
      </c>
      <c r="B754" s="133"/>
      <c r="C754" s="133"/>
      <c r="D754" s="137" t="s">
        <v>76</v>
      </c>
      <c r="E754" s="137"/>
      <c r="F754" s="137"/>
    </row>
  </sheetData>
  <mergeCells count="75">
    <mergeCell ref="D750:F750"/>
    <mergeCell ref="A751:C751"/>
    <mergeCell ref="D751:F751"/>
    <mergeCell ref="A754:C754"/>
    <mergeCell ref="D754:F754"/>
    <mergeCell ref="A667:F667"/>
    <mergeCell ref="A725:A726"/>
    <mergeCell ref="B725:B726"/>
    <mergeCell ref="F725:F726"/>
    <mergeCell ref="A729:A730"/>
    <mergeCell ref="B729:B730"/>
    <mergeCell ref="C729:C730"/>
    <mergeCell ref="D729:D730"/>
    <mergeCell ref="E729:E730"/>
    <mergeCell ref="F729:F730"/>
    <mergeCell ref="D657:F657"/>
    <mergeCell ref="A658:C658"/>
    <mergeCell ref="D658:F658"/>
    <mergeCell ref="A661:C661"/>
    <mergeCell ref="D661:F661"/>
    <mergeCell ref="A666:F666"/>
    <mergeCell ref="A580:C580"/>
    <mergeCell ref="D580:F580"/>
    <mergeCell ref="A583:C583"/>
    <mergeCell ref="D583:F583"/>
    <mergeCell ref="A586:F586"/>
    <mergeCell ref="A587:F587"/>
    <mergeCell ref="A456:F456"/>
    <mergeCell ref="A457:F457"/>
    <mergeCell ref="A511:A512"/>
    <mergeCell ref="E511:E512"/>
    <mergeCell ref="A564:A565"/>
    <mergeCell ref="D579:F579"/>
    <mergeCell ref="A357:F357"/>
    <mergeCell ref="A358:F358"/>
    <mergeCell ref="D449:F449"/>
    <mergeCell ref="A450:C450"/>
    <mergeCell ref="D450:F450"/>
    <mergeCell ref="A453:C453"/>
    <mergeCell ref="D453:F453"/>
    <mergeCell ref="A248:F248"/>
    <mergeCell ref="A249:F249"/>
    <mergeCell ref="D350:F350"/>
    <mergeCell ref="A351:C351"/>
    <mergeCell ref="D351:F351"/>
    <mergeCell ref="A354:C354"/>
    <mergeCell ref="D354:F354"/>
    <mergeCell ref="A174:F174"/>
    <mergeCell ref="A175:F175"/>
    <mergeCell ref="D240:F240"/>
    <mergeCell ref="A241:C241"/>
    <mergeCell ref="D241:F241"/>
    <mergeCell ref="A244:C244"/>
    <mergeCell ref="D244:F244"/>
    <mergeCell ref="A122:F122"/>
    <mergeCell ref="A123:F123"/>
    <mergeCell ref="D167:F167"/>
    <mergeCell ref="A168:C168"/>
    <mergeCell ref="D168:F168"/>
    <mergeCell ref="A171:C171"/>
    <mergeCell ref="D171:F171"/>
    <mergeCell ref="A66:F66"/>
    <mergeCell ref="A67:F67"/>
    <mergeCell ref="D115:F115"/>
    <mergeCell ref="A116:C116"/>
    <mergeCell ref="D116:F116"/>
    <mergeCell ref="A119:C119"/>
    <mergeCell ref="D119:F119"/>
    <mergeCell ref="A1:F1"/>
    <mergeCell ref="A2:F2"/>
    <mergeCell ref="D59:F59"/>
    <mergeCell ref="A60:C60"/>
    <mergeCell ref="D60:F60"/>
    <mergeCell ref="A63:C63"/>
    <mergeCell ref="D63:F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9EB5-4273-4B32-A73E-AC0D4E486E4C}">
  <dimension ref="A1:W754"/>
  <sheetViews>
    <sheetView tabSelected="1" topLeftCell="B1" workbookViewId="0">
      <selection activeCell="J26" sqref="J25:J26"/>
    </sheetView>
  </sheetViews>
  <sheetFormatPr defaultRowHeight="15" x14ac:dyDescent="0.25"/>
  <cols>
    <col min="2" max="2" width="10.7109375" bestFit="1" customWidth="1"/>
    <col min="3" max="3" width="24.7109375" bestFit="1" customWidth="1"/>
    <col min="4" max="6" width="11.5703125" bestFit="1" customWidth="1"/>
    <col min="11" max="11" width="3.5703125" customWidth="1"/>
    <col min="12" max="12" width="21.85546875" customWidth="1"/>
    <col min="13" max="18" width="11.5703125" bestFit="1" customWidth="1"/>
    <col min="19" max="19" width="12.5703125" bestFit="1" customWidth="1"/>
    <col min="20" max="20" width="11.5703125" bestFit="1" customWidth="1"/>
    <col min="21" max="21" width="12.42578125" customWidth="1"/>
    <col min="22" max="23" width="12.5703125" bestFit="1" customWidth="1"/>
  </cols>
  <sheetData>
    <row r="1" spans="1:23" ht="15.75" x14ac:dyDescent="0.25">
      <c r="A1" s="138" t="s">
        <v>19</v>
      </c>
      <c r="B1" s="139"/>
      <c r="C1" s="139"/>
      <c r="D1" s="139"/>
      <c r="E1" s="139"/>
      <c r="F1" s="140"/>
      <c r="K1" s="158" t="s">
        <v>488</v>
      </c>
    </row>
    <row r="2" spans="1:23" ht="15.75" x14ac:dyDescent="0.25">
      <c r="A2" s="141" t="s">
        <v>20</v>
      </c>
      <c r="B2" s="142"/>
      <c r="C2" s="142"/>
      <c r="D2" s="142"/>
      <c r="E2" s="142"/>
      <c r="F2" s="143"/>
      <c r="K2" s="163" t="s">
        <v>465</v>
      </c>
      <c r="L2" s="164"/>
      <c r="M2" s="162" t="s">
        <v>467</v>
      </c>
      <c r="N2" s="162" t="s">
        <v>468</v>
      </c>
      <c r="O2" s="162" t="s">
        <v>469</v>
      </c>
      <c r="P2" s="162" t="s">
        <v>470</v>
      </c>
      <c r="Q2" s="162" t="s">
        <v>471</v>
      </c>
      <c r="R2" s="162" t="s">
        <v>472</v>
      </c>
      <c r="S2" s="162" t="s">
        <v>473</v>
      </c>
      <c r="T2" s="162" t="s">
        <v>474</v>
      </c>
      <c r="U2" s="162" t="s">
        <v>475</v>
      </c>
      <c r="V2" s="162" t="s">
        <v>487</v>
      </c>
    </row>
    <row r="3" spans="1:23" x14ac:dyDescent="0.25">
      <c r="A3" s="14" t="s">
        <v>1</v>
      </c>
      <c r="B3" s="14" t="s">
        <v>21</v>
      </c>
      <c r="C3" s="14" t="s">
        <v>22</v>
      </c>
      <c r="D3" s="15" t="s">
        <v>23</v>
      </c>
      <c r="E3" s="15" t="s">
        <v>24</v>
      </c>
      <c r="F3" s="15" t="s">
        <v>5</v>
      </c>
      <c r="K3" s="20" t="s">
        <v>466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3" x14ac:dyDescent="0.25">
      <c r="A4" s="14">
        <v>1</v>
      </c>
      <c r="B4" s="16">
        <v>45655</v>
      </c>
      <c r="C4" s="17" t="s">
        <v>25</v>
      </c>
      <c r="D4" s="18">
        <v>750000</v>
      </c>
      <c r="E4" s="18"/>
      <c r="F4" s="18"/>
      <c r="K4" s="102">
        <v>1</v>
      </c>
      <c r="L4" s="102" t="s">
        <v>476</v>
      </c>
      <c r="M4" s="100">
        <f>SUM(D4:D30)</f>
        <v>25370000</v>
      </c>
      <c r="N4" s="100">
        <f>SUM(D69:D90)</f>
        <v>25080000</v>
      </c>
      <c r="O4" s="100">
        <f>SUM(D125:D148)</f>
        <v>28980000</v>
      </c>
      <c r="P4" s="100">
        <f>SUM(D177:D203)</f>
        <v>27615000</v>
      </c>
      <c r="Q4" s="100">
        <f>SUM(D251:D284)</f>
        <v>37710000</v>
      </c>
      <c r="R4" s="100">
        <f>SUM(D360:D390)</f>
        <v>32435000</v>
      </c>
      <c r="S4" s="100">
        <f>SUM(D459:D493)</f>
        <v>35610000</v>
      </c>
      <c r="T4" s="100">
        <f>SUM(D589:D624)</f>
        <v>36015000</v>
      </c>
      <c r="U4" s="100">
        <f>SUM(D669:D704)</f>
        <v>38055000</v>
      </c>
      <c r="V4" s="100">
        <f>SUM(M4:U4)</f>
        <v>286870000</v>
      </c>
    </row>
    <row r="5" spans="1:23" x14ac:dyDescent="0.25">
      <c r="A5" s="14">
        <v>2</v>
      </c>
      <c r="B5" s="16">
        <v>45657</v>
      </c>
      <c r="C5" s="17" t="s">
        <v>26</v>
      </c>
      <c r="D5" s="18">
        <v>980000</v>
      </c>
      <c r="E5" s="18"/>
      <c r="F5" s="18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0">
        <f t="shared" ref="V5:V17" si="0">SUM(M5:U5)</f>
        <v>0</v>
      </c>
    </row>
    <row r="6" spans="1:23" x14ac:dyDescent="0.25">
      <c r="A6" s="14">
        <v>3</v>
      </c>
      <c r="B6" s="16">
        <v>45659</v>
      </c>
      <c r="C6" s="17" t="s">
        <v>27</v>
      </c>
      <c r="D6" s="18">
        <v>1250000</v>
      </c>
      <c r="E6" s="18"/>
      <c r="F6" s="18"/>
      <c r="K6" s="102"/>
      <c r="L6" s="102" t="s">
        <v>480</v>
      </c>
      <c r="M6" s="100">
        <f>SUM(M4:M5)</f>
        <v>25370000</v>
      </c>
      <c r="N6" s="100">
        <f t="shared" ref="N6:U6" si="1">SUM(N4:N5)</f>
        <v>25080000</v>
      </c>
      <c r="O6" s="100">
        <f t="shared" si="1"/>
        <v>28980000</v>
      </c>
      <c r="P6" s="100">
        <f t="shared" si="1"/>
        <v>27615000</v>
      </c>
      <c r="Q6" s="100">
        <f t="shared" si="1"/>
        <v>37710000</v>
      </c>
      <c r="R6" s="100">
        <f t="shared" si="1"/>
        <v>32435000</v>
      </c>
      <c r="S6" s="100">
        <f t="shared" si="1"/>
        <v>35610000</v>
      </c>
      <c r="T6" s="100">
        <f t="shared" si="1"/>
        <v>36015000</v>
      </c>
      <c r="U6" s="100">
        <f t="shared" si="1"/>
        <v>38055000</v>
      </c>
      <c r="V6" s="165">
        <f t="shared" si="0"/>
        <v>286870000</v>
      </c>
      <c r="W6" s="38">
        <f>SUM(V6)</f>
        <v>286870000</v>
      </c>
    </row>
    <row r="7" spans="1:23" x14ac:dyDescent="0.25">
      <c r="A7" s="14">
        <v>4</v>
      </c>
      <c r="B7" s="16">
        <v>45659</v>
      </c>
      <c r="C7" s="17" t="s">
        <v>28</v>
      </c>
      <c r="D7" s="18">
        <v>1325000</v>
      </c>
      <c r="E7" s="18"/>
      <c r="F7" s="18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0">
        <f t="shared" si="0"/>
        <v>0</v>
      </c>
    </row>
    <row r="8" spans="1:23" x14ac:dyDescent="0.25">
      <c r="A8" s="14">
        <v>5</v>
      </c>
      <c r="B8" s="16">
        <v>45659</v>
      </c>
      <c r="C8" s="17" t="s">
        <v>29</v>
      </c>
      <c r="D8" s="18">
        <v>750000</v>
      </c>
      <c r="E8" s="18"/>
      <c r="F8" s="18"/>
      <c r="K8" s="99" t="s">
        <v>132</v>
      </c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0">
        <f t="shared" si="0"/>
        <v>0</v>
      </c>
    </row>
    <row r="9" spans="1:23" x14ac:dyDescent="0.25">
      <c r="A9" s="14">
        <v>6</v>
      </c>
      <c r="B9" s="16">
        <v>45659</v>
      </c>
      <c r="C9" s="17" t="s">
        <v>30</v>
      </c>
      <c r="D9" s="18">
        <v>910000</v>
      </c>
      <c r="E9" s="18"/>
      <c r="F9" s="18"/>
      <c r="K9" s="102">
        <v>1</v>
      </c>
      <c r="L9" s="102" t="s">
        <v>477</v>
      </c>
      <c r="M9" s="100">
        <f>SUM(E32:E35)</f>
        <v>5200000</v>
      </c>
      <c r="N9" s="100">
        <f>SUM(E92:E95)</f>
        <v>5600000</v>
      </c>
      <c r="O9" s="100">
        <f>SUM(E150:E153)</f>
        <v>5600000</v>
      </c>
      <c r="P9" s="100">
        <f>SUM(E205:E208)</f>
        <v>5600000</v>
      </c>
      <c r="Q9" s="100">
        <f>SUM(E286:E289)</f>
        <v>5600000</v>
      </c>
      <c r="R9" s="100">
        <f>SUM(E392:E395)</f>
        <v>4950000</v>
      </c>
      <c r="S9" s="100">
        <f>SUM(E496:E499)</f>
        <v>4575000</v>
      </c>
      <c r="T9" s="100">
        <f>SUM(E626:E630)</f>
        <v>6750000</v>
      </c>
      <c r="U9" s="100">
        <f>SUM(E706:E712)</f>
        <v>9050000</v>
      </c>
      <c r="V9" s="100">
        <f t="shared" si="0"/>
        <v>52925000</v>
      </c>
    </row>
    <row r="10" spans="1:23" x14ac:dyDescent="0.25">
      <c r="A10" s="14">
        <v>7</v>
      </c>
      <c r="B10" s="16">
        <v>45660</v>
      </c>
      <c r="C10" s="17" t="s">
        <v>31</v>
      </c>
      <c r="D10" s="18">
        <v>1475000</v>
      </c>
      <c r="E10" s="18"/>
      <c r="F10" s="18"/>
      <c r="K10" s="102">
        <v>2</v>
      </c>
      <c r="L10" s="102" t="s">
        <v>484</v>
      </c>
      <c r="M10" s="102"/>
      <c r="N10" s="102"/>
      <c r="O10" s="100">
        <f>SUM(E154)</f>
        <v>5600000</v>
      </c>
      <c r="P10" s="102"/>
      <c r="Q10" s="102"/>
      <c r="R10" s="102"/>
      <c r="S10" s="102"/>
      <c r="T10" s="102"/>
      <c r="U10" s="102"/>
      <c r="V10" s="100">
        <f t="shared" si="0"/>
        <v>5600000</v>
      </c>
    </row>
    <row r="11" spans="1:23" x14ac:dyDescent="0.25">
      <c r="A11" s="14">
        <v>8</v>
      </c>
      <c r="B11" s="16">
        <v>45660</v>
      </c>
      <c r="C11" s="17" t="s">
        <v>32</v>
      </c>
      <c r="D11" s="18">
        <v>1125000</v>
      </c>
      <c r="E11" s="18"/>
      <c r="F11" s="18"/>
      <c r="K11" s="102">
        <v>3</v>
      </c>
      <c r="L11" s="102" t="s">
        <v>478</v>
      </c>
      <c r="M11" s="100">
        <f>SUM(E36:E50)</f>
        <v>712500</v>
      </c>
      <c r="N11" s="100">
        <f>SUM(E96:E106)</f>
        <v>576000</v>
      </c>
      <c r="O11" s="100">
        <f>SUM(E155:E158)</f>
        <v>161500</v>
      </c>
      <c r="P11" s="100">
        <f>SUM(E209:E221)</f>
        <v>3633700</v>
      </c>
      <c r="Q11" s="100">
        <f>SUM(E290:E334)</f>
        <v>16476000</v>
      </c>
      <c r="R11" s="100">
        <f>SUM(E396:E428)</f>
        <v>6721100</v>
      </c>
      <c r="S11" s="100">
        <f>SUM(E504:E548)</f>
        <v>8513400</v>
      </c>
      <c r="T11" s="100">
        <f>SUM(E636:E651)</f>
        <v>1736500</v>
      </c>
      <c r="U11" s="100">
        <f>SUM(E727:E745)</f>
        <v>4831800</v>
      </c>
      <c r="V11" s="100">
        <f t="shared" si="0"/>
        <v>43362500</v>
      </c>
    </row>
    <row r="12" spans="1:23" x14ac:dyDescent="0.25">
      <c r="A12" s="14">
        <v>9</v>
      </c>
      <c r="B12" s="16">
        <v>45663</v>
      </c>
      <c r="C12" s="17" t="s">
        <v>33</v>
      </c>
      <c r="D12" s="18">
        <v>1125000</v>
      </c>
      <c r="E12" s="18"/>
      <c r="F12" s="18"/>
      <c r="K12" s="102">
        <v>4</v>
      </c>
      <c r="L12" s="102" t="s">
        <v>481</v>
      </c>
      <c r="M12" s="102"/>
      <c r="N12" s="100">
        <f>SUM(E109:E111)</f>
        <v>288000</v>
      </c>
      <c r="O12" s="102"/>
      <c r="P12" s="100">
        <f>SUM(E222:E225)</f>
        <v>1453000</v>
      </c>
      <c r="Q12" s="102"/>
      <c r="R12" s="102"/>
      <c r="S12" s="102"/>
      <c r="T12" s="102"/>
      <c r="U12" s="102"/>
      <c r="V12" s="100">
        <f t="shared" si="0"/>
        <v>1741000</v>
      </c>
    </row>
    <row r="13" spans="1:23" x14ac:dyDescent="0.25">
      <c r="A13" s="14">
        <v>10</v>
      </c>
      <c r="B13" s="16">
        <v>45663</v>
      </c>
      <c r="C13" s="17" t="s">
        <v>34</v>
      </c>
      <c r="D13" s="18">
        <v>1375000</v>
      </c>
      <c r="E13" s="18"/>
      <c r="F13" s="18"/>
      <c r="K13" s="102">
        <v>5</v>
      </c>
      <c r="L13" s="102" t="s">
        <v>482</v>
      </c>
      <c r="M13" s="100">
        <f>SUM(E52:E53)</f>
        <v>2040000</v>
      </c>
      <c r="N13" s="100">
        <f>SUM(E107:E108)</f>
        <v>2150000</v>
      </c>
      <c r="O13" s="100">
        <f>SUM(E160:E163)</f>
        <v>1645000</v>
      </c>
      <c r="P13" s="100">
        <f>SUM(E226:E235)</f>
        <v>2692000</v>
      </c>
      <c r="Q13" s="100">
        <f>SUM(E335:E339)</f>
        <v>361000</v>
      </c>
      <c r="R13" s="100">
        <f>SUM(E429:E437)</f>
        <v>2278500</v>
      </c>
      <c r="S13" s="100">
        <f>SUM(E500:E503)</f>
        <v>3494500</v>
      </c>
      <c r="T13" s="100">
        <f>SUM(E631:E635)</f>
        <v>3852000</v>
      </c>
      <c r="U13" s="100">
        <f>SUM(E713:E723)</f>
        <v>4355000</v>
      </c>
      <c r="V13" s="100">
        <f t="shared" si="0"/>
        <v>22868000</v>
      </c>
    </row>
    <row r="14" spans="1:23" x14ac:dyDescent="0.25">
      <c r="A14" s="14">
        <v>11</v>
      </c>
      <c r="B14" s="16">
        <v>45663</v>
      </c>
      <c r="C14" s="17" t="s">
        <v>35</v>
      </c>
      <c r="D14" s="18">
        <v>880000</v>
      </c>
      <c r="E14" s="18"/>
      <c r="F14" s="18"/>
      <c r="K14" s="102">
        <v>6</v>
      </c>
      <c r="L14" s="102" t="s">
        <v>486</v>
      </c>
      <c r="M14" s="100">
        <f>SUM(E54)</f>
        <v>300000</v>
      </c>
      <c r="N14" s="102"/>
      <c r="O14" s="102"/>
      <c r="P14" s="102"/>
      <c r="Q14" s="102"/>
      <c r="R14" s="100">
        <f>SUM(E438)</f>
        <v>205000</v>
      </c>
      <c r="S14" s="100">
        <f>SUM(E549)</f>
        <v>200000</v>
      </c>
      <c r="T14" s="100">
        <f>SUM(E652)</f>
        <v>1511000</v>
      </c>
      <c r="U14" s="100">
        <f>SUM(E724:E726)</f>
        <v>1766000</v>
      </c>
      <c r="V14" s="100">
        <f t="shared" si="0"/>
        <v>3982000</v>
      </c>
      <c r="W14" s="38">
        <f>SUM(V9:V14)</f>
        <v>130478500</v>
      </c>
    </row>
    <row r="15" spans="1:23" x14ac:dyDescent="0.25">
      <c r="A15" s="14">
        <v>12</v>
      </c>
      <c r="B15" s="16">
        <v>45663</v>
      </c>
      <c r="C15" s="17" t="s">
        <v>36</v>
      </c>
      <c r="D15" s="18">
        <v>750000</v>
      </c>
      <c r="E15" s="18"/>
      <c r="F15" s="18"/>
      <c r="K15" s="19">
        <v>7</v>
      </c>
      <c r="L15" s="19" t="s">
        <v>479</v>
      </c>
      <c r="M15" s="18">
        <f>SUM(E55)</f>
        <v>1400850</v>
      </c>
      <c r="N15" s="19"/>
      <c r="O15" s="19"/>
      <c r="P15" s="19"/>
      <c r="Q15" s="18">
        <f>SUM(E340:E345)</f>
        <v>33093000</v>
      </c>
      <c r="R15" s="18">
        <f>SUM(E440:E442)</f>
        <v>27363000</v>
      </c>
      <c r="S15" s="18">
        <f>SUM(E554:E557)</f>
        <v>9336000</v>
      </c>
      <c r="T15" s="19"/>
      <c r="U15" s="18">
        <f>SUM(E746)</f>
        <v>7586000</v>
      </c>
      <c r="V15" s="18">
        <f t="shared" si="0"/>
        <v>78778850</v>
      </c>
    </row>
    <row r="16" spans="1:23" x14ac:dyDescent="0.25">
      <c r="A16" s="14">
        <v>13</v>
      </c>
      <c r="B16" s="16">
        <v>45664</v>
      </c>
      <c r="C16" s="17" t="s">
        <v>37</v>
      </c>
      <c r="D16" s="18">
        <v>625000</v>
      </c>
      <c r="E16" s="18"/>
      <c r="F16" s="18"/>
      <c r="K16" s="19">
        <v>8</v>
      </c>
      <c r="L16" s="19" t="s">
        <v>483</v>
      </c>
      <c r="M16" s="19"/>
      <c r="N16" s="19"/>
      <c r="O16" s="18">
        <f>SUM(E159)</f>
        <v>75000000</v>
      </c>
      <c r="P16" s="18">
        <f>SUM(E236)</f>
        <v>40000000</v>
      </c>
      <c r="Q16" s="19"/>
      <c r="R16" s="18">
        <f>SUM(E443:E445)</f>
        <v>40000000</v>
      </c>
      <c r="S16" s="18">
        <f>SUM(E550:E553)</f>
        <v>59850000</v>
      </c>
      <c r="T16" s="19"/>
      <c r="U16" s="19"/>
      <c r="V16" s="18">
        <f t="shared" si="0"/>
        <v>214850000</v>
      </c>
    </row>
    <row r="17" spans="1:23" x14ac:dyDescent="0.25">
      <c r="A17" s="14">
        <v>14</v>
      </c>
      <c r="B17" s="16">
        <v>45664</v>
      </c>
      <c r="C17" s="17" t="s">
        <v>38</v>
      </c>
      <c r="D17" s="18">
        <v>900000</v>
      </c>
      <c r="E17" s="18"/>
      <c r="F17" s="18"/>
      <c r="K17" s="19">
        <v>9</v>
      </c>
      <c r="L17" s="19" t="s">
        <v>485</v>
      </c>
      <c r="M17" s="19"/>
      <c r="N17" s="19"/>
      <c r="O17" s="19"/>
      <c r="P17" s="19"/>
      <c r="Q17" s="18">
        <f>SUM(E346)</f>
        <v>633600</v>
      </c>
      <c r="R17" s="18">
        <f>SUM(E439)</f>
        <v>502500</v>
      </c>
      <c r="S17" s="18">
        <f>SUM(E559:E575)</f>
        <v>11389000</v>
      </c>
      <c r="T17" s="18">
        <f>SUM(E653)</f>
        <v>102000</v>
      </c>
      <c r="U17" s="19"/>
      <c r="V17" s="18">
        <f t="shared" si="0"/>
        <v>12627100</v>
      </c>
    </row>
    <row r="18" spans="1:23" x14ac:dyDescent="0.25">
      <c r="A18" s="14">
        <v>15</v>
      </c>
      <c r="B18" s="16">
        <v>45665</v>
      </c>
      <c r="C18" s="17" t="s">
        <v>39</v>
      </c>
      <c r="D18" s="18">
        <v>1575000</v>
      </c>
      <c r="E18" s="18"/>
      <c r="F18" s="18"/>
      <c r="K18" s="19">
        <v>10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3" x14ac:dyDescent="0.25">
      <c r="A19" s="14">
        <v>16</v>
      </c>
      <c r="B19" s="16">
        <v>45665</v>
      </c>
      <c r="C19" s="17" t="s">
        <v>40</v>
      </c>
      <c r="D19" s="18">
        <v>1375000</v>
      </c>
      <c r="E19" s="18"/>
      <c r="F19" s="18"/>
      <c r="J19" s="158"/>
      <c r="K19" s="20"/>
      <c r="L19" s="20" t="s">
        <v>480</v>
      </c>
      <c r="M19" s="159">
        <f>SUM(M9:M16)</f>
        <v>9653350</v>
      </c>
      <c r="N19" s="159">
        <f>SUM(N9:N16)</f>
        <v>8614000</v>
      </c>
      <c r="O19" s="159">
        <f>SUM(O9:O16)</f>
        <v>88006500</v>
      </c>
      <c r="P19" s="159">
        <f>SUM(P9:P16)</f>
        <v>53378700</v>
      </c>
      <c r="Q19" s="159">
        <f>SUM(Q9:Q17)</f>
        <v>56163600</v>
      </c>
      <c r="R19" s="159">
        <f t="shared" ref="R19:V19" si="2">SUM(R9:R17)</f>
        <v>82020100</v>
      </c>
      <c r="S19" s="159">
        <f t="shared" si="2"/>
        <v>97357900</v>
      </c>
      <c r="T19" s="159">
        <f t="shared" si="2"/>
        <v>13951500</v>
      </c>
      <c r="U19" s="159">
        <f t="shared" si="2"/>
        <v>27588800</v>
      </c>
      <c r="V19" s="159">
        <f t="shared" si="2"/>
        <v>436734450</v>
      </c>
      <c r="W19" s="38">
        <f>SUM(W6-W14)</f>
        <v>156391500</v>
      </c>
    </row>
    <row r="20" spans="1:23" x14ac:dyDescent="0.25">
      <c r="A20" s="14">
        <v>17</v>
      </c>
      <c r="B20" s="16">
        <v>45665</v>
      </c>
      <c r="C20" s="17" t="s">
        <v>26</v>
      </c>
      <c r="D20" s="18">
        <v>30000</v>
      </c>
      <c r="E20" s="18"/>
      <c r="F20" s="18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3" x14ac:dyDescent="0.25">
      <c r="A21" s="14">
        <v>18</v>
      </c>
      <c r="B21" s="16">
        <v>45665</v>
      </c>
      <c r="C21" s="17" t="s">
        <v>41</v>
      </c>
      <c r="D21" s="18">
        <v>625000</v>
      </c>
      <c r="E21" s="18"/>
      <c r="F21" s="18"/>
    </row>
    <row r="22" spans="1:23" x14ac:dyDescent="0.25">
      <c r="A22" s="14">
        <v>19</v>
      </c>
      <c r="B22" s="16">
        <v>45665</v>
      </c>
      <c r="C22" s="17" t="s">
        <v>42</v>
      </c>
      <c r="D22" s="18">
        <v>1125000</v>
      </c>
      <c r="E22" s="18"/>
      <c r="F22" s="18"/>
    </row>
    <row r="23" spans="1:23" x14ac:dyDescent="0.25">
      <c r="A23" s="14">
        <v>20</v>
      </c>
      <c r="B23" s="16">
        <v>45665</v>
      </c>
      <c r="C23" s="17" t="s">
        <v>43</v>
      </c>
      <c r="D23" s="18">
        <v>930000</v>
      </c>
      <c r="E23" s="18"/>
      <c r="F23" s="18"/>
    </row>
    <row r="24" spans="1:23" x14ac:dyDescent="0.25">
      <c r="A24" s="14">
        <v>21</v>
      </c>
      <c r="B24" s="16">
        <v>45665</v>
      </c>
      <c r="C24" s="17" t="s">
        <v>37</v>
      </c>
      <c r="D24" s="18">
        <v>125000</v>
      </c>
      <c r="E24" s="18"/>
      <c r="F24" s="18"/>
    </row>
    <row r="25" spans="1:23" x14ac:dyDescent="0.25">
      <c r="A25" s="14">
        <v>22</v>
      </c>
      <c r="B25" s="16">
        <v>45666</v>
      </c>
      <c r="C25" s="17" t="s">
        <v>44</v>
      </c>
      <c r="D25" s="18">
        <v>1315000</v>
      </c>
      <c r="E25" s="18"/>
      <c r="F25" s="18"/>
    </row>
    <row r="26" spans="1:23" x14ac:dyDescent="0.25">
      <c r="A26" s="14">
        <v>23</v>
      </c>
      <c r="B26" s="16">
        <v>45666</v>
      </c>
      <c r="C26" s="17" t="s">
        <v>45</v>
      </c>
      <c r="D26" s="18">
        <v>1325000</v>
      </c>
      <c r="E26" s="18"/>
      <c r="F26" s="18"/>
    </row>
    <row r="27" spans="1:23" x14ac:dyDescent="0.25">
      <c r="A27" s="14">
        <v>24</v>
      </c>
      <c r="B27" s="16">
        <v>45666</v>
      </c>
      <c r="C27" s="17" t="s">
        <v>46</v>
      </c>
      <c r="D27" s="18">
        <v>1125000</v>
      </c>
      <c r="E27" s="18"/>
      <c r="F27" s="18"/>
    </row>
    <row r="28" spans="1:23" x14ac:dyDescent="0.25">
      <c r="A28" s="14">
        <v>25</v>
      </c>
      <c r="B28" s="16">
        <v>45666</v>
      </c>
      <c r="C28" s="17" t="s">
        <v>47</v>
      </c>
      <c r="D28" s="18">
        <v>100000</v>
      </c>
      <c r="E28" s="18"/>
      <c r="F28" s="18"/>
    </row>
    <row r="29" spans="1:23" x14ac:dyDescent="0.25">
      <c r="A29" s="14">
        <v>26</v>
      </c>
      <c r="B29" s="16">
        <v>45667</v>
      </c>
      <c r="C29" s="17" t="s">
        <v>48</v>
      </c>
      <c r="D29" s="18">
        <v>750000</v>
      </c>
      <c r="E29" s="18"/>
      <c r="F29" s="18"/>
    </row>
    <row r="30" spans="1:23" x14ac:dyDescent="0.25">
      <c r="A30" s="14">
        <v>27</v>
      </c>
      <c r="B30" s="16">
        <v>45667</v>
      </c>
      <c r="C30" s="17" t="s">
        <v>49</v>
      </c>
      <c r="D30" s="18">
        <v>750000</v>
      </c>
      <c r="E30" s="18"/>
      <c r="F30" s="18"/>
    </row>
    <row r="31" spans="1:23" x14ac:dyDescent="0.25">
      <c r="A31" s="14"/>
      <c r="B31" s="19"/>
      <c r="C31" s="20" t="s">
        <v>4</v>
      </c>
      <c r="D31" s="18"/>
      <c r="E31" s="18"/>
      <c r="F31" s="18"/>
    </row>
    <row r="32" spans="1:23" ht="15.75" x14ac:dyDescent="0.25">
      <c r="A32" s="14">
        <v>28</v>
      </c>
      <c r="B32" s="19"/>
      <c r="C32" s="21" t="s">
        <v>50</v>
      </c>
      <c r="D32" s="18"/>
      <c r="E32" s="116">
        <v>1350000</v>
      </c>
      <c r="F32" s="18"/>
    </row>
    <row r="33" spans="1:6" ht="15.75" x14ac:dyDescent="0.25">
      <c r="A33" s="14">
        <v>29</v>
      </c>
      <c r="B33" s="19"/>
      <c r="C33" s="21" t="s">
        <v>51</v>
      </c>
      <c r="D33" s="18"/>
      <c r="E33" s="116">
        <v>1350000</v>
      </c>
      <c r="F33" s="18"/>
    </row>
    <row r="34" spans="1:6" ht="15.75" x14ac:dyDescent="0.25">
      <c r="A34" s="14">
        <v>30</v>
      </c>
      <c r="B34" s="19"/>
      <c r="C34" s="21" t="s">
        <v>52</v>
      </c>
      <c r="D34" s="18"/>
      <c r="E34" s="116">
        <v>1250000</v>
      </c>
      <c r="F34" s="18"/>
    </row>
    <row r="35" spans="1:6" ht="15.75" x14ac:dyDescent="0.25">
      <c r="A35" s="14">
        <v>31</v>
      </c>
      <c r="B35" s="19"/>
      <c r="C35" s="21" t="s">
        <v>53</v>
      </c>
      <c r="D35" s="18"/>
      <c r="E35" s="116">
        <v>1250000</v>
      </c>
      <c r="F35" s="18"/>
    </row>
    <row r="36" spans="1:6" ht="15.75" x14ac:dyDescent="0.25">
      <c r="A36" s="14">
        <v>32</v>
      </c>
      <c r="B36" s="19"/>
      <c r="C36" s="21" t="s">
        <v>54</v>
      </c>
      <c r="D36" s="18"/>
      <c r="E36" s="18">
        <v>75000</v>
      </c>
      <c r="F36" s="18"/>
    </row>
    <row r="37" spans="1:6" ht="15.75" x14ac:dyDescent="0.25">
      <c r="A37" s="14">
        <v>35</v>
      </c>
      <c r="B37" s="19"/>
      <c r="C37" s="21" t="s">
        <v>57</v>
      </c>
      <c r="D37" s="18"/>
      <c r="E37" s="18">
        <v>39000</v>
      </c>
      <c r="F37" s="18"/>
    </row>
    <row r="38" spans="1:6" ht="15.75" x14ac:dyDescent="0.25">
      <c r="A38" s="14">
        <v>36</v>
      </c>
      <c r="B38" s="19"/>
      <c r="C38" s="21" t="s">
        <v>58</v>
      </c>
      <c r="D38" s="18"/>
      <c r="E38" s="18">
        <v>16000</v>
      </c>
      <c r="F38" s="18"/>
    </row>
    <row r="39" spans="1:6" ht="15.75" x14ac:dyDescent="0.25">
      <c r="A39" s="14">
        <v>37</v>
      </c>
      <c r="B39" s="19"/>
      <c r="C39" s="21" t="s">
        <v>59</v>
      </c>
      <c r="D39" s="18"/>
      <c r="E39" s="18">
        <v>13000</v>
      </c>
      <c r="F39" s="18"/>
    </row>
    <row r="40" spans="1:6" ht="15.75" x14ac:dyDescent="0.25">
      <c r="A40" s="14">
        <v>38</v>
      </c>
      <c r="B40" s="19"/>
      <c r="C40" s="21" t="s">
        <v>60</v>
      </c>
      <c r="D40" s="18"/>
      <c r="E40" s="18">
        <v>19000</v>
      </c>
      <c r="F40" s="18"/>
    </row>
    <row r="41" spans="1:6" ht="15.75" x14ac:dyDescent="0.25">
      <c r="A41" s="14">
        <v>39</v>
      </c>
      <c r="B41" s="19"/>
      <c r="C41" s="21" t="s">
        <v>61</v>
      </c>
      <c r="D41" s="18"/>
      <c r="E41" s="18">
        <v>75500</v>
      </c>
      <c r="F41" s="18"/>
    </row>
    <row r="42" spans="1:6" ht="15.75" x14ac:dyDescent="0.25">
      <c r="A42" s="14">
        <v>40</v>
      </c>
      <c r="B42" s="19"/>
      <c r="C42" s="21" t="s">
        <v>62</v>
      </c>
      <c r="D42" s="18"/>
      <c r="E42" s="18">
        <v>9000</v>
      </c>
      <c r="F42" s="18"/>
    </row>
    <row r="43" spans="1:6" ht="15.75" x14ac:dyDescent="0.25">
      <c r="A43" s="14">
        <v>41</v>
      </c>
      <c r="B43" s="19"/>
      <c r="C43" s="21" t="s">
        <v>61</v>
      </c>
      <c r="D43" s="18"/>
      <c r="E43" s="18">
        <v>75500</v>
      </c>
      <c r="F43" s="18"/>
    </row>
    <row r="44" spans="1:6" ht="15.75" x14ac:dyDescent="0.25">
      <c r="A44" s="14">
        <v>42</v>
      </c>
      <c r="B44" s="19"/>
      <c r="C44" s="21" t="s">
        <v>63</v>
      </c>
      <c r="D44" s="18"/>
      <c r="E44" s="18">
        <v>40000</v>
      </c>
      <c r="F44" s="18"/>
    </row>
    <row r="45" spans="1:6" ht="15.75" x14ac:dyDescent="0.25">
      <c r="A45" s="14">
        <v>43</v>
      </c>
      <c r="B45" s="19"/>
      <c r="C45" s="21" t="s">
        <v>64</v>
      </c>
      <c r="D45" s="18"/>
      <c r="E45" s="18">
        <v>35000</v>
      </c>
      <c r="F45" s="18"/>
    </row>
    <row r="46" spans="1:6" ht="15.75" x14ac:dyDescent="0.25">
      <c r="A46" s="14">
        <v>44</v>
      </c>
      <c r="B46" s="19"/>
      <c r="C46" s="21" t="s">
        <v>65</v>
      </c>
      <c r="D46" s="18"/>
      <c r="E46" s="18">
        <v>37500</v>
      </c>
      <c r="F46" s="18"/>
    </row>
    <row r="47" spans="1:6" ht="15.75" x14ac:dyDescent="0.25">
      <c r="A47" s="14">
        <v>46</v>
      </c>
      <c r="B47" s="19"/>
      <c r="C47" s="21" t="s">
        <v>61</v>
      </c>
      <c r="D47" s="18"/>
      <c r="E47" s="18">
        <v>77000</v>
      </c>
      <c r="F47" s="18"/>
    </row>
    <row r="48" spans="1:6" ht="15.75" x14ac:dyDescent="0.25">
      <c r="A48" s="14">
        <v>48</v>
      </c>
      <c r="B48" s="19"/>
      <c r="C48" s="21" t="s">
        <v>61</v>
      </c>
      <c r="D48" s="18"/>
      <c r="E48" s="18">
        <v>78000</v>
      </c>
      <c r="F48" s="18"/>
    </row>
    <row r="49" spans="1:6" ht="15.75" x14ac:dyDescent="0.25">
      <c r="A49" s="22">
        <v>49</v>
      </c>
      <c r="B49" s="23"/>
      <c r="C49" s="24" t="s">
        <v>68</v>
      </c>
      <c r="D49" s="25"/>
      <c r="E49" s="25">
        <v>12000</v>
      </c>
      <c r="F49" s="25"/>
    </row>
    <row r="50" spans="1:6" ht="15.75" x14ac:dyDescent="0.25">
      <c r="A50" s="22">
        <v>50</v>
      </c>
      <c r="B50" s="26"/>
      <c r="C50" s="27" t="s">
        <v>69</v>
      </c>
      <c r="D50" s="25"/>
      <c r="E50" s="28">
        <v>111000</v>
      </c>
      <c r="F50" s="28"/>
    </row>
    <row r="51" spans="1:6" ht="15.75" x14ac:dyDescent="0.25">
      <c r="A51" s="29"/>
      <c r="B51" s="30"/>
      <c r="C51" s="31" t="s">
        <v>70</v>
      </c>
      <c r="D51" s="32"/>
      <c r="E51" s="33"/>
      <c r="F51" s="33"/>
    </row>
    <row r="52" spans="1:6" ht="15.75" x14ac:dyDescent="0.25">
      <c r="A52" s="14">
        <v>33</v>
      </c>
      <c r="B52" s="19"/>
      <c r="C52" s="21" t="s">
        <v>55</v>
      </c>
      <c r="D52" s="18"/>
      <c r="E52" s="116">
        <v>760000</v>
      </c>
      <c r="F52" s="18"/>
    </row>
    <row r="53" spans="1:6" ht="15.75" x14ac:dyDescent="0.25">
      <c r="A53" s="14">
        <v>34</v>
      </c>
      <c r="B53" s="19"/>
      <c r="C53" s="21" t="s">
        <v>56</v>
      </c>
      <c r="D53" s="18"/>
      <c r="E53" s="116">
        <v>1280000</v>
      </c>
      <c r="F53" s="18"/>
    </row>
    <row r="54" spans="1:6" ht="15.75" x14ac:dyDescent="0.25">
      <c r="A54" s="14">
        <v>47</v>
      </c>
      <c r="B54" s="19"/>
      <c r="C54" s="21" t="s">
        <v>67</v>
      </c>
      <c r="D54" s="18"/>
      <c r="E54" s="18">
        <v>300000</v>
      </c>
      <c r="F54" s="18"/>
    </row>
    <row r="55" spans="1:6" ht="15.75" x14ac:dyDescent="0.25">
      <c r="A55" s="14">
        <v>45</v>
      </c>
      <c r="B55" s="19"/>
      <c r="C55" s="21" t="s">
        <v>66</v>
      </c>
      <c r="D55" s="18"/>
      <c r="E55" s="116">
        <v>1400850</v>
      </c>
      <c r="F55" s="18"/>
    </row>
    <row r="56" spans="1:6" x14ac:dyDescent="0.25">
      <c r="A56" s="34"/>
      <c r="B56" s="35"/>
      <c r="C56" s="35" t="s">
        <v>71</v>
      </c>
      <c r="D56" s="36">
        <f>SUM(D4:D55)</f>
        <v>25370000</v>
      </c>
      <c r="E56" s="36">
        <f>SUM(E32:E55)</f>
        <v>9653350</v>
      </c>
      <c r="F56" s="36">
        <f>D56-E56</f>
        <v>15716650</v>
      </c>
    </row>
    <row r="57" spans="1:6" x14ac:dyDescent="0.25">
      <c r="A57" s="37"/>
      <c r="D57" s="38"/>
      <c r="E57" s="38"/>
      <c r="F57" s="38"/>
    </row>
    <row r="58" spans="1:6" x14ac:dyDescent="0.25">
      <c r="A58" s="37"/>
      <c r="D58" s="38"/>
      <c r="E58" s="38"/>
      <c r="F58" s="38"/>
    </row>
    <row r="59" spans="1:6" x14ac:dyDescent="0.25">
      <c r="A59" s="37"/>
      <c r="D59" s="137" t="s">
        <v>72</v>
      </c>
      <c r="E59" s="137"/>
      <c r="F59" s="137"/>
    </row>
    <row r="60" spans="1:6" x14ac:dyDescent="0.25">
      <c r="A60" s="133" t="s">
        <v>73</v>
      </c>
      <c r="B60" s="133"/>
      <c r="C60" s="133"/>
      <c r="D60" s="137" t="s">
        <v>74</v>
      </c>
      <c r="E60" s="137"/>
      <c r="F60" s="137"/>
    </row>
    <row r="61" spans="1:6" x14ac:dyDescent="0.25">
      <c r="A61" s="37"/>
      <c r="D61" s="38"/>
      <c r="E61" s="38"/>
      <c r="F61" s="38"/>
    </row>
    <row r="62" spans="1:6" x14ac:dyDescent="0.25">
      <c r="A62" s="37"/>
      <c r="D62" s="38"/>
      <c r="E62" s="38"/>
      <c r="F62" s="38"/>
    </row>
    <row r="63" spans="1:6" x14ac:dyDescent="0.25">
      <c r="A63" s="133" t="s">
        <v>75</v>
      </c>
      <c r="B63" s="133"/>
      <c r="C63" s="133"/>
      <c r="D63" s="137" t="s">
        <v>76</v>
      </c>
      <c r="E63" s="137"/>
      <c r="F63" s="137"/>
    </row>
    <row r="66" spans="1:6" ht="15.75" x14ac:dyDescent="0.25">
      <c r="A66" s="138" t="s">
        <v>19</v>
      </c>
      <c r="B66" s="139"/>
      <c r="C66" s="139"/>
      <c r="D66" s="139"/>
      <c r="E66" s="139"/>
      <c r="F66" s="140"/>
    </row>
    <row r="67" spans="1:6" ht="15.75" x14ac:dyDescent="0.25">
      <c r="A67" s="141" t="s">
        <v>77</v>
      </c>
      <c r="B67" s="142"/>
      <c r="C67" s="142"/>
      <c r="D67" s="142"/>
      <c r="E67" s="142"/>
      <c r="F67" s="143"/>
    </row>
    <row r="68" spans="1:6" x14ac:dyDescent="0.25">
      <c r="A68" s="14" t="s">
        <v>1</v>
      </c>
      <c r="B68" s="14" t="s">
        <v>21</v>
      </c>
      <c r="C68" s="14" t="s">
        <v>22</v>
      </c>
      <c r="D68" s="15" t="s">
        <v>23</v>
      </c>
      <c r="E68" s="15" t="s">
        <v>24</v>
      </c>
      <c r="F68" s="15" t="s">
        <v>5</v>
      </c>
    </row>
    <row r="69" spans="1:6" x14ac:dyDescent="0.25">
      <c r="A69" s="14">
        <v>1</v>
      </c>
      <c r="B69" s="16">
        <v>45689</v>
      </c>
      <c r="C69" s="17" t="s">
        <v>29</v>
      </c>
      <c r="D69" s="40">
        <v>750000</v>
      </c>
      <c r="E69" s="18"/>
      <c r="F69" s="40"/>
    </row>
    <row r="70" spans="1:6" x14ac:dyDescent="0.25">
      <c r="A70" s="14">
        <v>2</v>
      </c>
      <c r="B70" s="16">
        <v>45690</v>
      </c>
      <c r="C70" s="17" t="s">
        <v>27</v>
      </c>
      <c r="D70" s="40">
        <v>1250000</v>
      </c>
      <c r="E70" s="40"/>
      <c r="F70" s="40"/>
    </row>
    <row r="71" spans="1:6" x14ac:dyDescent="0.25">
      <c r="A71" s="14">
        <v>3</v>
      </c>
      <c r="B71" s="16">
        <v>45691</v>
      </c>
      <c r="C71" s="17" t="s">
        <v>31</v>
      </c>
      <c r="D71" s="40">
        <v>1275000</v>
      </c>
      <c r="E71" s="18"/>
      <c r="F71" s="40"/>
    </row>
    <row r="72" spans="1:6" x14ac:dyDescent="0.25">
      <c r="A72" s="14">
        <v>4</v>
      </c>
      <c r="B72" s="16">
        <v>45691</v>
      </c>
      <c r="C72" s="17" t="s">
        <v>30</v>
      </c>
      <c r="D72" s="40">
        <v>780000</v>
      </c>
      <c r="E72" s="40"/>
      <c r="F72" s="40"/>
    </row>
    <row r="73" spans="1:6" x14ac:dyDescent="0.25">
      <c r="A73" s="14">
        <v>5</v>
      </c>
      <c r="B73" s="16">
        <v>45691</v>
      </c>
      <c r="C73" s="17" t="s">
        <v>32</v>
      </c>
      <c r="D73" s="40">
        <v>1125000</v>
      </c>
      <c r="E73" s="40"/>
      <c r="F73" s="40"/>
    </row>
    <row r="74" spans="1:6" x14ac:dyDescent="0.25">
      <c r="A74" s="14">
        <v>6</v>
      </c>
      <c r="B74" s="16">
        <v>45691</v>
      </c>
      <c r="C74" s="17" t="s">
        <v>26</v>
      </c>
      <c r="D74" s="40">
        <v>910000</v>
      </c>
      <c r="E74" s="18"/>
      <c r="F74" s="40"/>
    </row>
    <row r="75" spans="1:6" x14ac:dyDescent="0.25">
      <c r="A75" s="14">
        <v>7</v>
      </c>
      <c r="B75" s="16">
        <v>45691</v>
      </c>
      <c r="C75" s="17" t="s">
        <v>34</v>
      </c>
      <c r="D75" s="40">
        <v>1375000</v>
      </c>
      <c r="E75" s="40"/>
      <c r="F75" s="40"/>
    </row>
    <row r="76" spans="1:6" x14ac:dyDescent="0.25">
      <c r="A76" s="14">
        <v>8</v>
      </c>
      <c r="B76" s="16">
        <v>45692</v>
      </c>
      <c r="C76" s="17" t="s">
        <v>28</v>
      </c>
      <c r="D76" s="40">
        <v>1265000</v>
      </c>
      <c r="E76" s="40"/>
      <c r="F76" s="40"/>
    </row>
    <row r="77" spans="1:6" x14ac:dyDescent="0.25">
      <c r="A77" s="14">
        <v>9</v>
      </c>
      <c r="B77" s="16">
        <v>45692</v>
      </c>
      <c r="C77" s="17" t="s">
        <v>43</v>
      </c>
      <c r="D77" s="40">
        <v>940000</v>
      </c>
      <c r="E77" s="40"/>
      <c r="F77" s="40"/>
    </row>
    <row r="78" spans="1:6" x14ac:dyDescent="0.25">
      <c r="A78" s="14">
        <v>10</v>
      </c>
      <c r="B78" s="16">
        <v>45693</v>
      </c>
      <c r="C78" s="17" t="s">
        <v>78</v>
      </c>
      <c r="D78" s="40">
        <v>2750000</v>
      </c>
      <c r="E78" s="18"/>
      <c r="F78" s="40"/>
    </row>
    <row r="79" spans="1:6" x14ac:dyDescent="0.25">
      <c r="A79" s="14">
        <v>11</v>
      </c>
      <c r="B79" s="16">
        <v>45693</v>
      </c>
      <c r="C79" s="17" t="s">
        <v>48</v>
      </c>
      <c r="D79" s="18">
        <v>750000</v>
      </c>
      <c r="E79" s="40"/>
      <c r="F79" s="40"/>
    </row>
    <row r="80" spans="1:6" x14ac:dyDescent="0.25">
      <c r="A80" s="14">
        <v>12</v>
      </c>
      <c r="B80" s="16">
        <v>45694</v>
      </c>
      <c r="C80" s="17" t="s">
        <v>33</v>
      </c>
      <c r="D80" s="40">
        <v>1125000</v>
      </c>
      <c r="E80" s="18"/>
      <c r="F80" s="40"/>
    </row>
    <row r="81" spans="1:6" x14ac:dyDescent="0.25">
      <c r="A81" s="14">
        <v>13</v>
      </c>
      <c r="B81" s="16">
        <v>45694</v>
      </c>
      <c r="C81" s="17" t="s">
        <v>37</v>
      </c>
      <c r="D81" s="40">
        <v>750000</v>
      </c>
      <c r="E81" s="40"/>
      <c r="F81" s="40"/>
    </row>
    <row r="82" spans="1:6" x14ac:dyDescent="0.25">
      <c r="A82" s="14">
        <v>14</v>
      </c>
      <c r="B82" s="16">
        <v>45694</v>
      </c>
      <c r="C82" s="17" t="s">
        <v>40</v>
      </c>
      <c r="D82" s="40">
        <v>1375000</v>
      </c>
      <c r="E82" s="40"/>
      <c r="F82" s="40"/>
    </row>
    <row r="83" spans="1:6" x14ac:dyDescent="0.25">
      <c r="A83" s="14">
        <v>15</v>
      </c>
      <c r="B83" s="16">
        <v>45694</v>
      </c>
      <c r="C83" s="17" t="s">
        <v>46</v>
      </c>
      <c r="D83" s="40">
        <v>1125000</v>
      </c>
      <c r="E83" s="40"/>
      <c r="F83" s="40"/>
    </row>
    <row r="84" spans="1:6" x14ac:dyDescent="0.25">
      <c r="A84" s="14">
        <v>16</v>
      </c>
      <c r="B84" s="16">
        <v>45695</v>
      </c>
      <c r="C84" s="17" t="s">
        <v>25</v>
      </c>
      <c r="D84" s="40">
        <v>750000</v>
      </c>
      <c r="E84" s="18"/>
      <c r="F84" s="40"/>
    </row>
    <row r="85" spans="1:6" x14ac:dyDescent="0.25">
      <c r="A85" s="14">
        <v>17</v>
      </c>
      <c r="B85" s="16">
        <v>45695</v>
      </c>
      <c r="C85" s="17" t="s">
        <v>36</v>
      </c>
      <c r="D85" s="40">
        <v>750000</v>
      </c>
      <c r="E85" s="18"/>
      <c r="F85" s="40"/>
    </row>
    <row r="86" spans="1:6" x14ac:dyDescent="0.25">
      <c r="A86" s="14">
        <v>18</v>
      </c>
      <c r="B86" s="16">
        <v>45698</v>
      </c>
      <c r="C86" s="17" t="s">
        <v>44</v>
      </c>
      <c r="D86" s="40">
        <v>1305000</v>
      </c>
      <c r="E86" s="18"/>
      <c r="F86" s="40"/>
    </row>
    <row r="87" spans="1:6" x14ac:dyDescent="0.25">
      <c r="A87" s="14">
        <v>19</v>
      </c>
      <c r="B87" s="16">
        <v>45699</v>
      </c>
      <c r="C87" s="17" t="s">
        <v>35</v>
      </c>
      <c r="D87" s="40">
        <v>880000</v>
      </c>
      <c r="E87" s="40"/>
      <c r="F87" s="40"/>
    </row>
    <row r="88" spans="1:6" x14ac:dyDescent="0.25">
      <c r="A88" s="14">
        <v>20</v>
      </c>
      <c r="B88" s="16">
        <v>45700</v>
      </c>
      <c r="C88" s="17" t="s">
        <v>45</v>
      </c>
      <c r="D88" s="18">
        <v>1265000</v>
      </c>
      <c r="E88" s="18"/>
      <c r="F88" s="40"/>
    </row>
    <row r="89" spans="1:6" x14ac:dyDescent="0.25">
      <c r="A89" s="14">
        <v>21</v>
      </c>
      <c r="B89" s="16">
        <v>45706</v>
      </c>
      <c r="C89" s="17" t="s">
        <v>38</v>
      </c>
      <c r="D89" s="18">
        <v>1040000</v>
      </c>
      <c r="E89" s="18"/>
      <c r="F89" s="40"/>
    </row>
    <row r="90" spans="1:6" x14ac:dyDescent="0.25">
      <c r="A90" s="14">
        <v>22</v>
      </c>
      <c r="B90" s="16">
        <v>45706</v>
      </c>
      <c r="C90" s="17" t="s">
        <v>39</v>
      </c>
      <c r="D90" s="40">
        <v>1545000</v>
      </c>
      <c r="E90" s="40"/>
      <c r="F90" s="40"/>
    </row>
    <row r="91" spans="1:6" x14ac:dyDescent="0.25">
      <c r="A91" s="14"/>
      <c r="B91" s="16"/>
      <c r="C91" s="41" t="s">
        <v>4</v>
      </c>
      <c r="D91" s="40"/>
      <c r="E91" s="40"/>
      <c r="F91" s="40"/>
    </row>
    <row r="92" spans="1:6" ht="15.75" x14ac:dyDescent="0.25">
      <c r="A92" s="14">
        <v>23</v>
      </c>
      <c r="B92" s="16"/>
      <c r="C92" s="21" t="s">
        <v>50</v>
      </c>
      <c r="D92" s="18"/>
      <c r="E92" s="116">
        <v>1450000</v>
      </c>
      <c r="F92" s="40"/>
    </row>
    <row r="93" spans="1:6" ht="15.75" x14ac:dyDescent="0.25">
      <c r="A93" s="14">
        <v>24</v>
      </c>
      <c r="B93" s="16"/>
      <c r="C93" s="21" t="s">
        <v>51</v>
      </c>
      <c r="D93" s="18"/>
      <c r="E93" s="116">
        <v>1450000</v>
      </c>
      <c r="F93" s="40"/>
    </row>
    <row r="94" spans="1:6" ht="15.75" x14ac:dyDescent="0.25">
      <c r="A94" s="14">
        <v>25</v>
      </c>
      <c r="B94" s="16"/>
      <c r="C94" s="21" t="s">
        <v>52</v>
      </c>
      <c r="D94" s="18"/>
      <c r="E94" s="116">
        <v>1350000</v>
      </c>
      <c r="F94" s="40"/>
    </row>
    <row r="95" spans="1:6" ht="15.75" x14ac:dyDescent="0.25">
      <c r="A95" s="14">
        <v>26</v>
      </c>
      <c r="B95" s="16"/>
      <c r="C95" s="21" t="s">
        <v>53</v>
      </c>
      <c r="D95" s="18"/>
      <c r="E95" s="116">
        <v>1350000</v>
      </c>
      <c r="F95" s="40"/>
    </row>
    <row r="96" spans="1:6" ht="15.75" x14ac:dyDescent="0.25">
      <c r="A96" s="14">
        <v>27</v>
      </c>
      <c r="B96" s="16"/>
      <c r="C96" s="21" t="s">
        <v>54</v>
      </c>
      <c r="D96" s="40"/>
      <c r="E96" s="40">
        <v>75000</v>
      </c>
      <c r="F96" s="40"/>
    </row>
    <row r="97" spans="1:6" x14ac:dyDescent="0.25">
      <c r="A97" s="14">
        <v>30</v>
      </c>
      <c r="B97" s="16"/>
      <c r="C97" s="17" t="s">
        <v>79</v>
      </c>
      <c r="D97" s="40"/>
      <c r="E97" s="40">
        <v>35000</v>
      </c>
      <c r="F97" s="40"/>
    </row>
    <row r="98" spans="1:6" x14ac:dyDescent="0.25">
      <c r="A98" s="14">
        <v>31</v>
      </c>
      <c r="B98" s="16"/>
      <c r="C98" s="17" t="s">
        <v>80</v>
      </c>
      <c r="D98" s="40"/>
      <c r="E98" s="40">
        <v>32000</v>
      </c>
      <c r="F98" s="40"/>
    </row>
    <row r="99" spans="1:6" x14ac:dyDescent="0.25">
      <c r="A99" s="14">
        <v>32</v>
      </c>
      <c r="B99" s="16"/>
      <c r="C99" s="17" t="s">
        <v>81</v>
      </c>
      <c r="D99" s="40"/>
      <c r="E99" s="40">
        <v>234000</v>
      </c>
      <c r="F99" s="40"/>
    </row>
    <row r="100" spans="1:6" x14ac:dyDescent="0.25">
      <c r="A100" s="14">
        <v>35</v>
      </c>
      <c r="B100" s="16"/>
      <c r="C100" s="17" t="s">
        <v>65</v>
      </c>
      <c r="D100" s="40"/>
      <c r="E100" s="40">
        <v>33000</v>
      </c>
      <c r="F100" s="40"/>
    </row>
    <row r="101" spans="1:6" x14ac:dyDescent="0.25">
      <c r="A101" s="14">
        <v>36</v>
      </c>
      <c r="B101" s="16"/>
      <c r="C101" s="17" t="s">
        <v>84</v>
      </c>
      <c r="D101" s="40"/>
      <c r="E101" s="40">
        <v>17000</v>
      </c>
      <c r="F101" s="40"/>
    </row>
    <row r="102" spans="1:6" x14ac:dyDescent="0.25">
      <c r="A102" s="14">
        <v>37</v>
      </c>
      <c r="B102" s="16"/>
      <c r="C102" s="17" t="s">
        <v>68</v>
      </c>
      <c r="D102" s="40"/>
      <c r="E102" s="40">
        <v>12000</v>
      </c>
      <c r="F102" s="40"/>
    </row>
    <row r="103" spans="1:6" x14ac:dyDescent="0.25">
      <c r="A103" s="14">
        <v>38</v>
      </c>
      <c r="B103" s="16"/>
      <c r="C103" s="17" t="s">
        <v>62</v>
      </c>
      <c r="D103" s="40"/>
      <c r="E103" s="40">
        <v>9000</v>
      </c>
      <c r="F103" s="40"/>
    </row>
    <row r="104" spans="1:6" x14ac:dyDescent="0.25">
      <c r="A104" s="14">
        <v>39</v>
      </c>
      <c r="B104" s="16"/>
      <c r="C104" s="17" t="s">
        <v>85</v>
      </c>
      <c r="D104" s="40"/>
      <c r="E104" s="40">
        <v>22000</v>
      </c>
      <c r="F104" s="40"/>
    </row>
    <row r="105" spans="1:6" x14ac:dyDescent="0.25">
      <c r="A105" s="14">
        <v>40</v>
      </c>
      <c r="B105" s="16"/>
      <c r="C105" s="17" t="s">
        <v>61</v>
      </c>
      <c r="D105" s="40"/>
      <c r="E105" s="40">
        <v>75000</v>
      </c>
      <c r="F105" s="40"/>
    </row>
    <row r="106" spans="1:6" x14ac:dyDescent="0.25">
      <c r="A106" s="14">
        <v>41</v>
      </c>
      <c r="B106" s="16"/>
      <c r="C106" s="17" t="s">
        <v>80</v>
      </c>
      <c r="D106" s="40"/>
      <c r="E106" s="40">
        <v>32000</v>
      </c>
      <c r="F106" s="40"/>
    </row>
    <row r="107" spans="1:6" ht="15.75" x14ac:dyDescent="0.25">
      <c r="A107" s="14">
        <v>28</v>
      </c>
      <c r="B107" s="16"/>
      <c r="C107" s="21" t="s">
        <v>55</v>
      </c>
      <c r="D107" s="40"/>
      <c r="E107" s="116">
        <v>800000</v>
      </c>
      <c r="F107" s="40"/>
    </row>
    <row r="108" spans="1:6" ht="15.75" x14ac:dyDescent="0.25">
      <c r="A108" s="14">
        <v>29</v>
      </c>
      <c r="B108" s="16"/>
      <c r="C108" s="21" t="s">
        <v>56</v>
      </c>
      <c r="D108" s="40"/>
      <c r="E108" s="116">
        <v>1350000</v>
      </c>
      <c r="F108" s="40"/>
    </row>
    <row r="109" spans="1:6" x14ac:dyDescent="0.25">
      <c r="A109" s="14">
        <v>33</v>
      </c>
      <c r="B109" s="16"/>
      <c r="C109" s="17" t="s">
        <v>82</v>
      </c>
      <c r="D109" s="40"/>
      <c r="E109" s="40">
        <v>43000</v>
      </c>
      <c r="F109" s="40"/>
    </row>
    <row r="110" spans="1:6" x14ac:dyDescent="0.25">
      <c r="A110" s="14">
        <v>34</v>
      </c>
      <c r="B110" s="16"/>
      <c r="C110" s="17" t="s">
        <v>83</v>
      </c>
      <c r="D110" s="40"/>
      <c r="E110" s="40">
        <v>120000</v>
      </c>
      <c r="F110" s="40"/>
    </row>
    <row r="111" spans="1:6" x14ac:dyDescent="0.25">
      <c r="A111" s="14">
        <v>42</v>
      </c>
      <c r="B111" s="16"/>
      <c r="C111" s="17" t="s">
        <v>86</v>
      </c>
      <c r="D111" s="40"/>
      <c r="E111" s="40">
        <v>125000</v>
      </c>
      <c r="F111" s="40"/>
    </row>
    <row r="112" spans="1:6" x14ac:dyDescent="0.25">
      <c r="A112" s="14"/>
      <c r="B112" s="16"/>
      <c r="C112" s="17"/>
      <c r="D112" s="40"/>
      <c r="E112" s="40"/>
      <c r="F112" s="40"/>
    </row>
    <row r="113" spans="1:6" x14ac:dyDescent="0.25">
      <c r="A113" s="42"/>
      <c r="B113" s="43"/>
      <c r="C113" s="35" t="s">
        <v>71</v>
      </c>
      <c r="D113" s="36">
        <f>SUM(D69:D112)</f>
        <v>25080000</v>
      </c>
      <c r="E113" s="36">
        <f>SUM(E70:E112)</f>
        <v>8614000</v>
      </c>
      <c r="F113" s="36">
        <f>D113-E113</f>
        <v>16466000</v>
      </c>
    </row>
    <row r="114" spans="1:6" x14ac:dyDescent="0.25">
      <c r="A114" s="37"/>
      <c r="D114" s="38"/>
      <c r="E114" s="38"/>
      <c r="F114" s="38"/>
    </row>
    <row r="115" spans="1:6" x14ac:dyDescent="0.25">
      <c r="A115" s="37"/>
      <c r="D115" s="137" t="s">
        <v>87</v>
      </c>
      <c r="E115" s="137"/>
      <c r="F115" s="137"/>
    </row>
    <row r="116" spans="1:6" x14ac:dyDescent="0.25">
      <c r="A116" s="133" t="s">
        <v>73</v>
      </c>
      <c r="B116" s="133"/>
      <c r="C116" s="133"/>
      <c r="D116" s="137" t="s">
        <v>74</v>
      </c>
      <c r="E116" s="137"/>
      <c r="F116" s="137"/>
    </row>
    <row r="117" spans="1:6" x14ac:dyDescent="0.25">
      <c r="A117" s="37"/>
      <c r="D117" s="38"/>
      <c r="E117" s="38"/>
      <c r="F117" s="38"/>
    </row>
    <row r="118" spans="1:6" x14ac:dyDescent="0.25">
      <c r="A118" s="37"/>
      <c r="D118" s="38"/>
      <c r="E118" s="38"/>
      <c r="F118" s="38"/>
    </row>
    <row r="119" spans="1:6" x14ac:dyDescent="0.25">
      <c r="A119" s="133" t="s">
        <v>75</v>
      </c>
      <c r="B119" s="133"/>
      <c r="C119" s="133"/>
      <c r="D119" s="137" t="s">
        <v>76</v>
      </c>
      <c r="E119" s="137"/>
      <c r="F119" s="137"/>
    </row>
    <row r="120" spans="1:6" x14ac:dyDescent="0.25">
      <c r="A120" s="37"/>
      <c r="D120" s="38"/>
      <c r="E120" s="38"/>
      <c r="F120" s="38"/>
    </row>
    <row r="122" spans="1:6" ht="15.75" x14ac:dyDescent="0.25">
      <c r="A122" s="138" t="s">
        <v>19</v>
      </c>
      <c r="B122" s="139"/>
      <c r="C122" s="139"/>
      <c r="D122" s="139"/>
      <c r="E122" s="139"/>
      <c r="F122" s="140"/>
    </row>
    <row r="123" spans="1:6" ht="15.75" x14ac:dyDescent="0.25">
      <c r="A123" s="141" t="s">
        <v>88</v>
      </c>
      <c r="B123" s="142"/>
      <c r="C123" s="142"/>
      <c r="D123" s="142"/>
      <c r="E123" s="142"/>
      <c r="F123" s="143"/>
    </row>
    <row r="124" spans="1:6" x14ac:dyDescent="0.25">
      <c r="A124" s="14" t="s">
        <v>1</v>
      </c>
      <c r="B124" s="14" t="s">
        <v>21</v>
      </c>
      <c r="C124" s="14" t="s">
        <v>22</v>
      </c>
      <c r="D124" s="15" t="s">
        <v>23</v>
      </c>
      <c r="E124" s="15" t="s">
        <v>24</v>
      </c>
      <c r="F124" s="15" t="s">
        <v>5</v>
      </c>
    </row>
    <row r="125" spans="1:6" x14ac:dyDescent="0.25">
      <c r="A125" s="14">
        <v>1</v>
      </c>
      <c r="B125" s="16">
        <v>45715</v>
      </c>
      <c r="C125" s="17" t="s">
        <v>26</v>
      </c>
      <c r="D125" s="40">
        <v>900000</v>
      </c>
      <c r="E125" s="18"/>
      <c r="F125" s="40"/>
    </row>
    <row r="126" spans="1:6" x14ac:dyDescent="0.25">
      <c r="A126" s="14">
        <v>2</v>
      </c>
      <c r="B126" s="16">
        <v>45717</v>
      </c>
      <c r="C126" s="17" t="s">
        <v>31</v>
      </c>
      <c r="D126" s="40">
        <v>1275000</v>
      </c>
      <c r="E126" s="40"/>
      <c r="F126" s="40"/>
    </row>
    <row r="127" spans="1:6" x14ac:dyDescent="0.25">
      <c r="A127" s="14">
        <v>3</v>
      </c>
      <c r="B127" s="16">
        <v>45717</v>
      </c>
      <c r="C127" s="17" t="s">
        <v>27</v>
      </c>
      <c r="D127" s="40">
        <v>1440000</v>
      </c>
      <c r="E127" s="18"/>
      <c r="F127" s="40"/>
    </row>
    <row r="128" spans="1:6" x14ac:dyDescent="0.25">
      <c r="A128" s="14">
        <v>4</v>
      </c>
      <c r="B128" s="16">
        <v>45718</v>
      </c>
      <c r="C128" s="17" t="s">
        <v>34</v>
      </c>
      <c r="D128" s="40">
        <v>1375000</v>
      </c>
      <c r="E128" s="40"/>
      <c r="F128" s="40"/>
    </row>
    <row r="129" spans="1:6" x14ac:dyDescent="0.25">
      <c r="A129" s="14">
        <v>5</v>
      </c>
      <c r="B129" s="16">
        <v>45719</v>
      </c>
      <c r="C129" s="17" t="s">
        <v>32</v>
      </c>
      <c r="D129" s="40">
        <v>1125000</v>
      </c>
      <c r="E129" s="40"/>
      <c r="F129" s="40"/>
    </row>
    <row r="130" spans="1:6" x14ac:dyDescent="0.25">
      <c r="A130" s="14">
        <v>6</v>
      </c>
      <c r="B130" s="16">
        <v>45719</v>
      </c>
      <c r="C130" s="17" t="s">
        <v>30</v>
      </c>
      <c r="D130" s="40">
        <v>750000</v>
      </c>
      <c r="E130" s="18"/>
      <c r="F130" s="40"/>
    </row>
    <row r="131" spans="1:6" x14ac:dyDescent="0.25">
      <c r="A131" s="14">
        <v>7</v>
      </c>
      <c r="B131" s="16">
        <v>45719</v>
      </c>
      <c r="C131" s="17" t="s">
        <v>28</v>
      </c>
      <c r="D131" s="40">
        <v>1235000</v>
      </c>
      <c r="E131" s="40"/>
      <c r="F131" s="40"/>
    </row>
    <row r="132" spans="1:6" x14ac:dyDescent="0.25">
      <c r="A132" s="14">
        <v>8</v>
      </c>
      <c r="B132" s="16">
        <v>45720</v>
      </c>
      <c r="C132" s="17" t="s">
        <v>29</v>
      </c>
      <c r="D132" s="40">
        <v>750000</v>
      </c>
      <c r="E132" s="40"/>
      <c r="F132" s="40"/>
    </row>
    <row r="133" spans="1:6" x14ac:dyDescent="0.25">
      <c r="A133" s="14">
        <v>9</v>
      </c>
      <c r="B133" s="16">
        <v>45720</v>
      </c>
      <c r="C133" s="17" t="s">
        <v>36</v>
      </c>
      <c r="D133" s="40">
        <v>750000</v>
      </c>
      <c r="E133" s="40"/>
      <c r="F133" s="40"/>
    </row>
    <row r="134" spans="1:6" x14ac:dyDescent="0.25">
      <c r="A134" s="14">
        <v>10</v>
      </c>
      <c r="B134" s="16">
        <v>45721</v>
      </c>
      <c r="C134" s="17" t="s">
        <v>89</v>
      </c>
      <c r="D134" s="40">
        <v>1705000</v>
      </c>
      <c r="E134" s="18"/>
      <c r="F134" s="40"/>
    </row>
    <row r="135" spans="1:6" x14ac:dyDescent="0.25">
      <c r="A135" s="14">
        <v>11</v>
      </c>
      <c r="B135" s="16">
        <v>45721</v>
      </c>
      <c r="C135" s="17" t="s">
        <v>33</v>
      </c>
      <c r="D135" s="40">
        <v>1125000</v>
      </c>
      <c r="E135" s="40"/>
      <c r="F135" s="40"/>
    </row>
    <row r="136" spans="1:6" x14ac:dyDescent="0.25">
      <c r="A136" s="14">
        <v>12</v>
      </c>
      <c r="B136" s="16">
        <v>45721</v>
      </c>
      <c r="C136" s="17" t="s">
        <v>37</v>
      </c>
      <c r="D136" s="40">
        <v>750000</v>
      </c>
      <c r="E136" s="18"/>
      <c r="F136" s="40"/>
    </row>
    <row r="137" spans="1:6" x14ac:dyDescent="0.25">
      <c r="A137" s="14">
        <v>13</v>
      </c>
      <c r="B137" s="16">
        <v>45722</v>
      </c>
      <c r="C137" s="17" t="s">
        <v>90</v>
      </c>
      <c r="D137" s="40">
        <v>1555000</v>
      </c>
      <c r="E137" s="40"/>
      <c r="F137" s="40"/>
    </row>
    <row r="138" spans="1:6" x14ac:dyDescent="0.25">
      <c r="A138" s="14">
        <v>14</v>
      </c>
      <c r="B138" s="16">
        <v>45722</v>
      </c>
      <c r="C138" s="17" t="s">
        <v>48</v>
      </c>
      <c r="D138" s="40">
        <v>750000</v>
      </c>
      <c r="E138" s="40"/>
      <c r="F138" s="40"/>
    </row>
    <row r="139" spans="1:6" x14ac:dyDescent="0.25">
      <c r="A139" s="14">
        <v>15</v>
      </c>
      <c r="B139" s="16">
        <v>45722</v>
      </c>
      <c r="C139" s="17" t="s">
        <v>43</v>
      </c>
      <c r="D139" s="40">
        <v>950000</v>
      </c>
      <c r="E139" s="40"/>
      <c r="F139" s="40"/>
    </row>
    <row r="140" spans="1:6" x14ac:dyDescent="0.25">
      <c r="A140" s="14">
        <v>16</v>
      </c>
      <c r="B140" s="16">
        <v>45723</v>
      </c>
      <c r="C140" s="17" t="s">
        <v>42</v>
      </c>
      <c r="D140" s="40">
        <v>2250000</v>
      </c>
      <c r="E140" s="18"/>
      <c r="F140" s="40"/>
    </row>
    <row r="141" spans="1:6" x14ac:dyDescent="0.25">
      <c r="A141" s="14">
        <v>17</v>
      </c>
      <c r="B141" s="16">
        <v>45723</v>
      </c>
      <c r="C141" s="17" t="s">
        <v>35</v>
      </c>
      <c r="D141" s="40">
        <v>880000</v>
      </c>
      <c r="E141" s="18"/>
      <c r="F141" s="40"/>
    </row>
    <row r="142" spans="1:6" x14ac:dyDescent="0.25">
      <c r="A142" s="14">
        <v>18</v>
      </c>
      <c r="B142" s="16">
        <v>45723</v>
      </c>
      <c r="C142" s="17" t="s">
        <v>40</v>
      </c>
      <c r="D142" s="40">
        <v>1375000</v>
      </c>
      <c r="E142" s="18"/>
      <c r="F142" s="40"/>
    </row>
    <row r="143" spans="1:6" x14ac:dyDescent="0.25">
      <c r="A143" s="14">
        <v>19</v>
      </c>
      <c r="B143" s="16">
        <v>45725</v>
      </c>
      <c r="C143" s="17" t="s">
        <v>45</v>
      </c>
      <c r="D143" s="40">
        <v>1205000</v>
      </c>
      <c r="E143" s="40"/>
      <c r="F143" s="40"/>
    </row>
    <row r="144" spans="1:6" x14ac:dyDescent="0.25">
      <c r="A144" s="14">
        <v>20</v>
      </c>
      <c r="B144" s="16">
        <v>45726</v>
      </c>
      <c r="C144" s="17" t="s">
        <v>78</v>
      </c>
      <c r="D144" s="40">
        <v>1375000</v>
      </c>
      <c r="E144" s="18"/>
      <c r="F144" s="40"/>
    </row>
    <row r="145" spans="1:6" x14ac:dyDescent="0.25">
      <c r="A145" s="14">
        <v>21</v>
      </c>
      <c r="B145" s="16">
        <v>45727</v>
      </c>
      <c r="C145" s="17" t="s">
        <v>44</v>
      </c>
      <c r="D145" s="40">
        <v>1305000</v>
      </c>
      <c r="E145" s="18"/>
      <c r="F145" s="40"/>
    </row>
    <row r="146" spans="1:6" x14ac:dyDescent="0.25">
      <c r="A146" s="14">
        <v>22</v>
      </c>
      <c r="B146" s="16">
        <v>45728</v>
      </c>
      <c r="C146" s="17" t="s">
        <v>38</v>
      </c>
      <c r="D146" s="40">
        <v>1030000</v>
      </c>
      <c r="E146" s="40"/>
      <c r="F146" s="40"/>
    </row>
    <row r="147" spans="1:6" x14ac:dyDescent="0.25">
      <c r="A147" s="14">
        <v>23</v>
      </c>
      <c r="B147" s="16">
        <v>45728</v>
      </c>
      <c r="C147" s="17" t="s">
        <v>25</v>
      </c>
      <c r="D147" s="40">
        <v>750000</v>
      </c>
      <c r="E147" s="40"/>
      <c r="F147" s="40"/>
    </row>
    <row r="148" spans="1:6" x14ac:dyDescent="0.25">
      <c r="A148" s="14">
        <v>24</v>
      </c>
      <c r="B148" s="16">
        <v>45742</v>
      </c>
      <c r="C148" s="17" t="s">
        <v>41</v>
      </c>
      <c r="D148" s="40">
        <v>2375000</v>
      </c>
      <c r="E148" s="40"/>
      <c r="F148" s="40"/>
    </row>
    <row r="149" spans="1:6" x14ac:dyDescent="0.25">
      <c r="A149" s="14"/>
      <c r="B149" s="16"/>
      <c r="C149" s="41" t="s">
        <v>4</v>
      </c>
      <c r="D149" s="40"/>
      <c r="E149" s="40"/>
      <c r="F149" s="40"/>
    </row>
    <row r="150" spans="1:6" ht="15.75" x14ac:dyDescent="0.25">
      <c r="A150" s="14">
        <v>25</v>
      </c>
      <c r="B150" s="16"/>
      <c r="C150" s="21" t="s">
        <v>50</v>
      </c>
      <c r="D150" s="18"/>
      <c r="E150" s="116">
        <v>1450000</v>
      </c>
      <c r="F150" s="40"/>
    </row>
    <row r="151" spans="1:6" ht="15.75" x14ac:dyDescent="0.25">
      <c r="A151" s="14">
        <v>26</v>
      </c>
      <c r="B151" s="16"/>
      <c r="C151" s="21" t="s">
        <v>51</v>
      </c>
      <c r="D151" s="18"/>
      <c r="E151" s="116">
        <v>1450000</v>
      </c>
      <c r="F151" s="40"/>
    </row>
    <row r="152" spans="1:6" ht="15.75" x14ac:dyDescent="0.25">
      <c r="A152" s="14">
        <v>27</v>
      </c>
      <c r="B152" s="16"/>
      <c r="C152" s="21" t="s">
        <v>52</v>
      </c>
      <c r="D152" s="18"/>
      <c r="E152" s="116">
        <v>1350000</v>
      </c>
      <c r="F152" s="40"/>
    </row>
    <row r="153" spans="1:6" ht="15.75" x14ac:dyDescent="0.25">
      <c r="A153" s="14">
        <v>28</v>
      </c>
      <c r="B153" s="16"/>
      <c r="C153" s="21" t="s">
        <v>53</v>
      </c>
      <c r="D153" s="18"/>
      <c r="E153" s="116">
        <v>1350000</v>
      </c>
      <c r="F153" s="40"/>
    </row>
    <row r="154" spans="1:6" x14ac:dyDescent="0.25">
      <c r="A154" s="14">
        <v>32</v>
      </c>
      <c r="B154" s="16"/>
      <c r="C154" s="17" t="s">
        <v>91</v>
      </c>
      <c r="D154" s="40"/>
      <c r="E154" s="40">
        <v>5600000</v>
      </c>
      <c r="F154" s="40"/>
    </row>
    <row r="155" spans="1:6" ht="15.75" x14ac:dyDescent="0.25">
      <c r="A155" s="14">
        <v>29</v>
      </c>
      <c r="B155" s="16"/>
      <c r="C155" s="21" t="s">
        <v>54</v>
      </c>
      <c r="D155" s="40"/>
      <c r="E155" s="40">
        <v>100000</v>
      </c>
      <c r="F155" s="40"/>
    </row>
    <row r="156" spans="1:6" x14ac:dyDescent="0.25">
      <c r="A156" s="14">
        <v>33</v>
      </c>
      <c r="B156" s="16"/>
      <c r="C156" s="17" t="s">
        <v>80</v>
      </c>
      <c r="D156" s="40"/>
      <c r="E156" s="40">
        <v>32000</v>
      </c>
      <c r="F156" s="40"/>
    </row>
    <row r="157" spans="1:6" x14ac:dyDescent="0.25">
      <c r="A157" s="14">
        <v>34</v>
      </c>
      <c r="B157" s="16"/>
      <c r="C157" s="17" t="s">
        <v>92</v>
      </c>
      <c r="D157" s="40"/>
      <c r="E157" s="40">
        <v>23500</v>
      </c>
      <c r="F157" s="40"/>
    </row>
    <row r="158" spans="1:6" x14ac:dyDescent="0.25">
      <c r="A158" s="14">
        <v>35</v>
      </c>
      <c r="B158" s="16"/>
      <c r="C158" s="17" t="s">
        <v>93</v>
      </c>
      <c r="D158" s="40"/>
      <c r="E158" s="40">
        <v>6000</v>
      </c>
      <c r="F158" s="40"/>
    </row>
    <row r="159" spans="1:6" x14ac:dyDescent="0.25">
      <c r="A159" s="14">
        <v>38</v>
      </c>
      <c r="B159" s="16"/>
      <c r="C159" s="17" t="s">
        <v>96</v>
      </c>
      <c r="D159" s="18"/>
      <c r="E159" s="18">
        <v>75000000</v>
      </c>
      <c r="F159" s="40"/>
    </row>
    <row r="160" spans="1:6" x14ac:dyDescent="0.25">
      <c r="A160" s="14">
        <v>36</v>
      </c>
      <c r="B160" s="16"/>
      <c r="C160" s="17" t="s">
        <v>94</v>
      </c>
      <c r="D160" s="40"/>
      <c r="E160" s="116">
        <v>75000</v>
      </c>
      <c r="F160" s="40"/>
    </row>
    <row r="161" spans="1:6" x14ac:dyDescent="0.25">
      <c r="A161" s="14">
        <v>37</v>
      </c>
      <c r="B161" s="16"/>
      <c r="C161" s="17" t="s">
        <v>95</v>
      </c>
      <c r="D161" s="40"/>
      <c r="E161" s="116">
        <v>50000</v>
      </c>
      <c r="F161" s="40"/>
    </row>
    <row r="162" spans="1:6" ht="15.75" x14ac:dyDescent="0.25">
      <c r="A162" s="14">
        <v>30</v>
      </c>
      <c r="B162" s="16"/>
      <c r="C162" s="21" t="s">
        <v>55</v>
      </c>
      <c r="D162" s="40"/>
      <c r="E162" s="116"/>
      <c r="F162" s="40"/>
    </row>
    <row r="163" spans="1:6" ht="15.75" x14ac:dyDescent="0.25">
      <c r="A163" s="14">
        <v>31</v>
      </c>
      <c r="B163" s="16"/>
      <c r="C163" s="21" t="s">
        <v>56</v>
      </c>
      <c r="D163" s="40"/>
      <c r="E163" s="116">
        <v>1520000</v>
      </c>
      <c r="F163" s="40"/>
    </row>
    <row r="164" spans="1:6" x14ac:dyDescent="0.25">
      <c r="A164" s="14"/>
      <c r="B164" s="44"/>
      <c r="C164" s="17"/>
      <c r="D164" s="40"/>
      <c r="E164" s="40"/>
      <c r="F164" s="40"/>
    </row>
    <row r="165" spans="1:6" x14ac:dyDescent="0.25">
      <c r="A165" s="42"/>
      <c r="B165" s="43"/>
      <c r="C165" s="35" t="s">
        <v>71</v>
      </c>
      <c r="D165" s="36">
        <f>SUM(D125:D164)</f>
        <v>28980000</v>
      </c>
      <c r="E165" s="36">
        <f>SUM(E125:E164)</f>
        <v>88006500</v>
      </c>
      <c r="F165" s="36">
        <f>D165-E165</f>
        <v>-59026500</v>
      </c>
    </row>
    <row r="166" spans="1:6" x14ac:dyDescent="0.25">
      <c r="A166" s="37"/>
      <c r="D166" s="38"/>
      <c r="E166" s="38"/>
      <c r="F166" s="38"/>
    </row>
    <row r="167" spans="1:6" x14ac:dyDescent="0.25">
      <c r="A167" s="37"/>
      <c r="D167" s="137" t="s">
        <v>97</v>
      </c>
      <c r="E167" s="137"/>
      <c r="F167" s="137"/>
    </row>
    <row r="168" spans="1:6" x14ac:dyDescent="0.25">
      <c r="A168" s="133" t="s">
        <v>73</v>
      </c>
      <c r="B168" s="133"/>
      <c r="C168" s="133"/>
      <c r="D168" s="137" t="s">
        <v>74</v>
      </c>
      <c r="E168" s="137"/>
      <c r="F168" s="137"/>
    </row>
    <row r="169" spans="1:6" x14ac:dyDescent="0.25">
      <c r="A169" s="37"/>
      <c r="D169" s="38"/>
      <c r="E169" s="38"/>
      <c r="F169" s="38"/>
    </row>
    <row r="170" spans="1:6" x14ac:dyDescent="0.25">
      <c r="A170" s="37"/>
      <c r="D170" s="38"/>
      <c r="E170" s="38"/>
      <c r="F170" s="38"/>
    </row>
    <row r="171" spans="1:6" x14ac:dyDescent="0.25">
      <c r="A171" s="133" t="s">
        <v>75</v>
      </c>
      <c r="B171" s="133"/>
      <c r="C171" s="133"/>
      <c r="D171" s="137" t="s">
        <v>76</v>
      </c>
      <c r="E171" s="137"/>
      <c r="F171" s="137"/>
    </row>
    <row r="172" spans="1:6" x14ac:dyDescent="0.25">
      <c r="A172" s="37"/>
      <c r="B172" s="37"/>
      <c r="C172" s="37"/>
      <c r="D172" s="45"/>
      <c r="E172" s="45"/>
      <c r="F172" s="45"/>
    </row>
    <row r="173" spans="1:6" x14ac:dyDescent="0.25">
      <c r="A173" s="37"/>
      <c r="B173" s="37"/>
      <c r="C173" s="37"/>
      <c r="D173" s="45"/>
      <c r="E173" s="45"/>
      <c r="F173" s="45"/>
    </row>
    <row r="174" spans="1:6" ht="15.75" x14ac:dyDescent="0.25">
      <c r="A174" s="138" t="s">
        <v>19</v>
      </c>
      <c r="B174" s="139"/>
      <c r="C174" s="139"/>
      <c r="D174" s="139"/>
      <c r="E174" s="139"/>
      <c r="F174" s="140"/>
    </row>
    <row r="175" spans="1:6" ht="15.75" x14ac:dyDescent="0.25">
      <c r="A175" s="141" t="s">
        <v>98</v>
      </c>
      <c r="B175" s="142"/>
      <c r="C175" s="142"/>
      <c r="D175" s="142"/>
      <c r="E175" s="142"/>
      <c r="F175" s="143"/>
    </row>
    <row r="176" spans="1:6" x14ac:dyDescent="0.25">
      <c r="A176" s="14" t="s">
        <v>1</v>
      </c>
      <c r="B176" s="14" t="s">
        <v>21</v>
      </c>
      <c r="C176" s="14" t="s">
        <v>22</v>
      </c>
      <c r="D176" s="15" t="s">
        <v>23</v>
      </c>
      <c r="E176" s="15" t="s">
        <v>24</v>
      </c>
      <c r="F176" s="15" t="s">
        <v>5</v>
      </c>
    </row>
    <row r="177" spans="1:6" x14ac:dyDescent="0.25">
      <c r="A177" s="14">
        <v>1</v>
      </c>
      <c r="B177" s="16">
        <v>45745</v>
      </c>
      <c r="C177" s="17" t="s">
        <v>26</v>
      </c>
      <c r="D177" s="40">
        <v>900000</v>
      </c>
      <c r="E177" s="18"/>
      <c r="F177" s="18"/>
    </row>
    <row r="178" spans="1:6" x14ac:dyDescent="0.25">
      <c r="A178" s="14">
        <v>2</v>
      </c>
      <c r="B178" s="16">
        <v>45749</v>
      </c>
      <c r="C178" s="17" t="s">
        <v>27</v>
      </c>
      <c r="D178" s="40">
        <v>1440000</v>
      </c>
      <c r="E178" s="18"/>
      <c r="F178" s="18"/>
    </row>
    <row r="179" spans="1:6" x14ac:dyDescent="0.25">
      <c r="A179" s="14">
        <v>3</v>
      </c>
      <c r="B179" s="16">
        <v>45750</v>
      </c>
      <c r="C179" s="17" t="s">
        <v>32</v>
      </c>
      <c r="D179" s="40">
        <v>1125000</v>
      </c>
      <c r="E179" s="18"/>
      <c r="F179" s="18"/>
    </row>
    <row r="180" spans="1:6" x14ac:dyDescent="0.25">
      <c r="A180" s="14">
        <v>4</v>
      </c>
      <c r="B180" s="16">
        <v>45752</v>
      </c>
      <c r="C180" s="17" t="s">
        <v>29</v>
      </c>
      <c r="D180" s="40">
        <v>750000</v>
      </c>
      <c r="E180" s="18"/>
      <c r="F180" s="18"/>
    </row>
    <row r="181" spans="1:6" x14ac:dyDescent="0.25">
      <c r="A181" s="14">
        <v>5</v>
      </c>
      <c r="B181" s="16">
        <v>45755</v>
      </c>
      <c r="C181" s="17" t="s">
        <v>99</v>
      </c>
      <c r="D181" s="40">
        <v>350000</v>
      </c>
      <c r="E181" s="18"/>
      <c r="F181" s="18"/>
    </row>
    <row r="182" spans="1:6" x14ac:dyDescent="0.25">
      <c r="A182" s="14">
        <v>6</v>
      </c>
      <c r="B182" s="16">
        <v>45756</v>
      </c>
      <c r="C182" s="17" t="s">
        <v>28</v>
      </c>
      <c r="D182" s="40">
        <v>1235000</v>
      </c>
      <c r="E182" s="18"/>
      <c r="F182" s="18"/>
    </row>
    <row r="183" spans="1:6" x14ac:dyDescent="0.25">
      <c r="A183" s="14">
        <v>7</v>
      </c>
      <c r="B183" s="16">
        <v>45756</v>
      </c>
      <c r="C183" s="17" t="s">
        <v>36</v>
      </c>
      <c r="D183" s="40">
        <v>750000</v>
      </c>
      <c r="E183" s="18"/>
      <c r="F183" s="18"/>
    </row>
    <row r="184" spans="1:6" x14ac:dyDescent="0.25">
      <c r="A184" s="14">
        <v>8</v>
      </c>
      <c r="B184" s="16">
        <v>45756</v>
      </c>
      <c r="C184" s="17" t="s">
        <v>43</v>
      </c>
      <c r="D184" s="40">
        <v>900000</v>
      </c>
      <c r="E184" s="18"/>
      <c r="F184" s="18"/>
    </row>
    <row r="185" spans="1:6" x14ac:dyDescent="0.25">
      <c r="A185" s="14">
        <v>9</v>
      </c>
      <c r="B185" s="16">
        <v>45756</v>
      </c>
      <c r="C185" s="17" t="s">
        <v>31</v>
      </c>
      <c r="D185" s="40">
        <v>1275000</v>
      </c>
      <c r="E185" s="18"/>
      <c r="F185" s="18"/>
    </row>
    <row r="186" spans="1:6" x14ac:dyDescent="0.25">
      <c r="A186" s="14">
        <v>10</v>
      </c>
      <c r="B186" s="16">
        <v>45756</v>
      </c>
      <c r="C186" s="17" t="s">
        <v>30</v>
      </c>
      <c r="D186" s="40">
        <v>830000</v>
      </c>
      <c r="E186" s="18"/>
      <c r="F186" s="18"/>
    </row>
    <row r="187" spans="1:6" x14ac:dyDescent="0.25">
      <c r="A187" s="14">
        <v>11</v>
      </c>
      <c r="B187" s="16">
        <v>45756</v>
      </c>
      <c r="C187" s="17" t="s">
        <v>33</v>
      </c>
      <c r="D187" s="40">
        <v>1125000</v>
      </c>
      <c r="E187" s="18"/>
      <c r="F187" s="18"/>
    </row>
    <row r="188" spans="1:6" x14ac:dyDescent="0.25">
      <c r="A188" s="14">
        <v>12</v>
      </c>
      <c r="B188" s="16">
        <v>45756</v>
      </c>
      <c r="C188" s="17" t="s">
        <v>46</v>
      </c>
      <c r="D188" s="40">
        <v>1125000</v>
      </c>
      <c r="E188" s="18"/>
      <c r="F188" s="18"/>
    </row>
    <row r="189" spans="1:6" x14ac:dyDescent="0.25">
      <c r="A189" s="14">
        <v>13</v>
      </c>
      <c r="B189" s="16">
        <v>45757</v>
      </c>
      <c r="C189" s="17" t="s">
        <v>48</v>
      </c>
      <c r="D189" s="40">
        <v>750000</v>
      </c>
      <c r="E189" s="18"/>
      <c r="F189" s="18"/>
    </row>
    <row r="190" spans="1:6" x14ac:dyDescent="0.25">
      <c r="A190" s="14">
        <v>14</v>
      </c>
      <c r="B190" s="16">
        <v>45757</v>
      </c>
      <c r="C190" s="17" t="s">
        <v>34</v>
      </c>
      <c r="D190" s="40">
        <v>1375000</v>
      </c>
      <c r="E190" s="18"/>
      <c r="F190" s="18"/>
    </row>
    <row r="191" spans="1:6" x14ac:dyDescent="0.25">
      <c r="A191" s="14">
        <v>15</v>
      </c>
      <c r="B191" s="16">
        <v>45758</v>
      </c>
      <c r="C191" s="17" t="s">
        <v>45</v>
      </c>
      <c r="D191" s="40">
        <v>1295000</v>
      </c>
      <c r="E191" s="18"/>
      <c r="F191" s="18"/>
    </row>
    <row r="192" spans="1:6" x14ac:dyDescent="0.25">
      <c r="A192" s="14">
        <v>16</v>
      </c>
      <c r="B192" s="16">
        <v>45761</v>
      </c>
      <c r="C192" s="17" t="s">
        <v>37</v>
      </c>
      <c r="D192" s="40">
        <v>750000</v>
      </c>
      <c r="E192" s="18"/>
      <c r="F192" s="18"/>
    </row>
    <row r="193" spans="1:6" x14ac:dyDescent="0.25">
      <c r="A193" s="14">
        <v>17</v>
      </c>
      <c r="B193" s="16">
        <v>45762</v>
      </c>
      <c r="C193" s="17" t="s">
        <v>44</v>
      </c>
      <c r="D193" s="40">
        <v>1305000</v>
      </c>
      <c r="E193" s="18"/>
      <c r="F193" s="18"/>
    </row>
    <row r="194" spans="1:6" x14ac:dyDescent="0.25">
      <c r="A194" s="14">
        <v>18</v>
      </c>
      <c r="B194" s="16">
        <v>45762</v>
      </c>
      <c r="C194" s="17" t="s">
        <v>100</v>
      </c>
      <c r="D194" s="40">
        <v>875000</v>
      </c>
      <c r="E194" s="18"/>
      <c r="F194" s="18"/>
    </row>
    <row r="195" spans="1:6" x14ac:dyDescent="0.25">
      <c r="A195" s="14">
        <v>19</v>
      </c>
      <c r="B195" s="16">
        <v>45762</v>
      </c>
      <c r="C195" s="17" t="s">
        <v>40</v>
      </c>
      <c r="D195" s="40">
        <v>1375000</v>
      </c>
      <c r="E195" s="18"/>
      <c r="F195" s="18"/>
    </row>
    <row r="196" spans="1:6" x14ac:dyDescent="0.25">
      <c r="A196" s="14">
        <v>20</v>
      </c>
      <c r="B196" s="16">
        <v>45763</v>
      </c>
      <c r="C196" s="17" t="s">
        <v>101</v>
      </c>
      <c r="D196" s="40">
        <v>925000</v>
      </c>
      <c r="E196" s="18"/>
      <c r="F196" s="18"/>
    </row>
    <row r="197" spans="1:6" x14ac:dyDescent="0.25">
      <c r="A197" s="14">
        <v>21</v>
      </c>
      <c r="B197" s="16">
        <v>45763</v>
      </c>
      <c r="C197" s="17" t="s">
        <v>25</v>
      </c>
      <c r="D197" s="40">
        <v>1500000</v>
      </c>
      <c r="E197" s="18"/>
      <c r="F197" s="18"/>
    </row>
    <row r="198" spans="1:6" x14ac:dyDescent="0.25">
      <c r="A198" s="14">
        <v>22</v>
      </c>
      <c r="B198" s="16">
        <v>45768</v>
      </c>
      <c r="C198" s="17" t="s">
        <v>35</v>
      </c>
      <c r="D198" s="40">
        <v>840000</v>
      </c>
      <c r="E198" s="18"/>
      <c r="F198" s="18"/>
    </row>
    <row r="199" spans="1:6" x14ac:dyDescent="0.25">
      <c r="A199" s="14">
        <v>23</v>
      </c>
      <c r="B199" s="16">
        <v>45770</v>
      </c>
      <c r="C199" s="17" t="s">
        <v>102</v>
      </c>
      <c r="D199" s="40">
        <v>125000</v>
      </c>
      <c r="E199" s="18"/>
      <c r="F199" s="18"/>
    </row>
    <row r="200" spans="1:6" x14ac:dyDescent="0.25">
      <c r="A200" s="14">
        <v>24</v>
      </c>
      <c r="B200" s="16">
        <v>45771</v>
      </c>
      <c r="C200" s="17" t="s">
        <v>90</v>
      </c>
      <c r="D200" s="40">
        <v>1565000</v>
      </c>
      <c r="E200" s="18"/>
      <c r="F200" s="18"/>
    </row>
    <row r="201" spans="1:6" x14ac:dyDescent="0.25">
      <c r="A201" s="14">
        <v>25</v>
      </c>
      <c r="B201" s="16">
        <v>45771</v>
      </c>
      <c r="C201" s="17" t="s">
        <v>103</v>
      </c>
      <c r="D201" s="40">
        <v>75000</v>
      </c>
      <c r="E201" s="18"/>
      <c r="F201" s="18"/>
    </row>
    <row r="202" spans="1:6" x14ac:dyDescent="0.25">
      <c r="A202" s="14">
        <v>26</v>
      </c>
      <c r="B202" s="16">
        <v>45771</v>
      </c>
      <c r="C202" s="17" t="s">
        <v>89</v>
      </c>
      <c r="D202" s="40">
        <v>1355000</v>
      </c>
      <c r="E202" s="18"/>
      <c r="F202" s="18"/>
    </row>
    <row r="203" spans="1:6" x14ac:dyDescent="0.25">
      <c r="A203" s="14">
        <v>27</v>
      </c>
      <c r="B203" s="16">
        <v>45777</v>
      </c>
      <c r="C203" s="17" t="s">
        <v>38</v>
      </c>
      <c r="D203" s="40">
        <v>1700000</v>
      </c>
      <c r="E203" s="18"/>
      <c r="F203" s="18"/>
    </row>
    <row r="204" spans="1:6" x14ac:dyDescent="0.25">
      <c r="A204" s="14">
        <v>30</v>
      </c>
      <c r="B204" s="16"/>
      <c r="C204" s="41" t="s">
        <v>4</v>
      </c>
      <c r="D204" s="40"/>
      <c r="E204" s="40"/>
      <c r="F204" s="18"/>
    </row>
    <row r="205" spans="1:6" ht="15.75" x14ac:dyDescent="0.25">
      <c r="A205" s="14">
        <v>31</v>
      </c>
      <c r="B205" s="16"/>
      <c r="C205" s="21" t="s">
        <v>50</v>
      </c>
      <c r="D205" s="18"/>
      <c r="E205" s="116">
        <v>1450000</v>
      </c>
      <c r="F205" s="18"/>
    </row>
    <row r="206" spans="1:6" ht="15.75" x14ac:dyDescent="0.25">
      <c r="A206" s="14">
        <v>32</v>
      </c>
      <c r="B206" s="16"/>
      <c r="C206" s="21" t="s">
        <v>51</v>
      </c>
      <c r="D206" s="18"/>
      <c r="E206" s="116">
        <v>1450000</v>
      </c>
      <c r="F206" s="18"/>
    </row>
    <row r="207" spans="1:6" ht="15.75" x14ac:dyDescent="0.25">
      <c r="A207" s="14">
        <v>33</v>
      </c>
      <c r="B207" s="16"/>
      <c r="C207" s="21" t="s">
        <v>52</v>
      </c>
      <c r="D207" s="18"/>
      <c r="E207" s="116">
        <v>1350000</v>
      </c>
      <c r="F207" s="18"/>
    </row>
    <row r="208" spans="1:6" ht="15.75" x14ac:dyDescent="0.25">
      <c r="A208" s="14">
        <v>34</v>
      </c>
      <c r="B208" s="16"/>
      <c r="C208" s="21" t="s">
        <v>53</v>
      </c>
      <c r="D208" s="18"/>
      <c r="E208" s="116">
        <v>1350000</v>
      </c>
      <c r="F208" s="18"/>
    </row>
    <row r="209" spans="1:6" ht="15.75" x14ac:dyDescent="0.25">
      <c r="A209" s="14">
        <v>35</v>
      </c>
      <c r="B209" s="16"/>
      <c r="C209" s="21" t="s">
        <v>54</v>
      </c>
      <c r="D209" s="40"/>
      <c r="E209" s="40">
        <v>100000</v>
      </c>
      <c r="F209" s="18"/>
    </row>
    <row r="210" spans="1:6" ht="15.75" x14ac:dyDescent="0.25">
      <c r="A210" s="14">
        <v>38</v>
      </c>
      <c r="B210" s="19"/>
      <c r="C210" s="21" t="s">
        <v>104</v>
      </c>
      <c r="D210" s="18"/>
      <c r="E210" s="40">
        <v>32000</v>
      </c>
      <c r="F210" s="18"/>
    </row>
    <row r="211" spans="1:6" ht="15.75" x14ac:dyDescent="0.25">
      <c r="A211" s="47">
        <v>40</v>
      </c>
      <c r="B211" s="48"/>
      <c r="C211" s="24" t="s">
        <v>106</v>
      </c>
      <c r="D211" s="25"/>
      <c r="E211" s="49">
        <v>70000</v>
      </c>
      <c r="F211" s="28"/>
    </row>
    <row r="212" spans="1:6" ht="15.75" x14ac:dyDescent="0.25">
      <c r="A212" s="50"/>
      <c r="B212" s="51"/>
      <c r="C212" s="52" t="s">
        <v>107</v>
      </c>
      <c r="D212" s="32"/>
      <c r="E212" s="33"/>
      <c r="F212" s="33"/>
    </row>
    <row r="213" spans="1:6" ht="15.75" x14ac:dyDescent="0.25">
      <c r="A213" s="14">
        <v>44</v>
      </c>
      <c r="B213" s="55">
        <v>45758</v>
      </c>
      <c r="C213" s="21" t="s">
        <v>110</v>
      </c>
      <c r="D213" s="18"/>
      <c r="E213" s="40">
        <v>2000000</v>
      </c>
      <c r="F213" s="18"/>
    </row>
    <row r="214" spans="1:6" ht="15.75" x14ac:dyDescent="0.25">
      <c r="A214" s="14">
        <v>45</v>
      </c>
      <c r="B214" s="19"/>
      <c r="C214" s="21" t="s">
        <v>92</v>
      </c>
      <c r="D214" s="18"/>
      <c r="E214" s="40">
        <v>23500</v>
      </c>
      <c r="F214" s="18"/>
    </row>
    <row r="215" spans="1:6" ht="15.75" x14ac:dyDescent="0.25">
      <c r="A215" s="14">
        <v>46</v>
      </c>
      <c r="B215" s="19"/>
      <c r="C215" s="21" t="s">
        <v>62</v>
      </c>
      <c r="D215" s="18"/>
      <c r="E215" s="40">
        <v>9000</v>
      </c>
      <c r="F215" s="18"/>
    </row>
    <row r="216" spans="1:6" x14ac:dyDescent="0.25">
      <c r="A216" s="22">
        <v>53</v>
      </c>
      <c r="B216" s="23"/>
      <c r="C216" s="23" t="s">
        <v>116</v>
      </c>
      <c r="D216" s="25"/>
      <c r="E216" s="25">
        <v>673500</v>
      </c>
      <c r="F216" s="25"/>
    </row>
    <row r="217" spans="1:6" x14ac:dyDescent="0.25">
      <c r="A217" s="47">
        <v>54</v>
      </c>
      <c r="B217" s="48"/>
      <c r="C217" s="23" t="s">
        <v>117</v>
      </c>
      <c r="D217" s="56"/>
      <c r="E217" s="25">
        <v>236000</v>
      </c>
      <c r="F217" s="28"/>
    </row>
    <row r="218" spans="1:6" x14ac:dyDescent="0.25">
      <c r="A218" s="50"/>
      <c r="B218" s="51"/>
      <c r="C218" s="53" t="s">
        <v>118</v>
      </c>
      <c r="D218" s="57"/>
      <c r="E218" s="32"/>
      <c r="F218" s="33"/>
    </row>
    <row r="219" spans="1:6" x14ac:dyDescent="0.25">
      <c r="A219" s="58">
        <v>55</v>
      </c>
      <c r="B219" s="59"/>
      <c r="C219" s="59" t="s">
        <v>119</v>
      </c>
      <c r="D219" s="60"/>
      <c r="E219" s="60">
        <v>200000</v>
      </c>
      <c r="F219" s="60"/>
    </row>
    <row r="220" spans="1:6" x14ac:dyDescent="0.25">
      <c r="A220" s="47">
        <v>56</v>
      </c>
      <c r="B220" s="48"/>
      <c r="C220" s="48" t="s">
        <v>120</v>
      </c>
      <c r="D220" s="25"/>
      <c r="E220" s="28">
        <v>289700</v>
      </c>
      <c r="F220" s="28"/>
    </row>
    <row r="221" spans="1:6" x14ac:dyDescent="0.25">
      <c r="A221" s="50"/>
      <c r="B221" s="51"/>
      <c r="C221" s="51" t="s">
        <v>121</v>
      </c>
      <c r="D221" s="32"/>
      <c r="E221" s="33"/>
      <c r="F221" s="33"/>
    </row>
    <row r="222" spans="1:6" x14ac:dyDescent="0.25">
      <c r="A222" s="14">
        <v>49</v>
      </c>
      <c r="B222" s="19"/>
      <c r="C222" s="19" t="s">
        <v>112</v>
      </c>
      <c r="D222" s="18"/>
      <c r="E222" s="116">
        <v>100000</v>
      </c>
      <c r="F222" s="18"/>
    </row>
    <row r="223" spans="1:6" x14ac:dyDescent="0.25">
      <c r="A223" s="14">
        <v>50</v>
      </c>
      <c r="B223" s="19"/>
      <c r="C223" s="19" t="s">
        <v>113</v>
      </c>
      <c r="D223" s="18"/>
      <c r="E223" s="116">
        <v>18000</v>
      </c>
      <c r="F223" s="18"/>
    </row>
    <row r="224" spans="1:6" x14ac:dyDescent="0.25">
      <c r="A224" s="14">
        <v>51</v>
      </c>
      <c r="B224" s="19"/>
      <c r="C224" s="19" t="s">
        <v>114</v>
      </c>
      <c r="D224" s="18"/>
      <c r="E224" s="116">
        <v>655000</v>
      </c>
      <c r="F224" s="18"/>
    </row>
    <row r="225" spans="1:6" x14ac:dyDescent="0.25">
      <c r="A225" s="14">
        <v>52</v>
      </c>
      <c r="B225" s="55">
        <v>45770</v>
      </c>
      <c r="C225" s="17" t="s">
        <v>115</v>
      </c>
      <c r="D225" s="18"/>
      <c r="E225" s="116">
        <v>680000</v>
      </c>
      <c r="F225" s="18"/>
    </row>
    <row r="226" spans="1:6" x14ac:dyDescent="0.25">
      <c r="A226" s="29">
        <v>57</v>
      </c>
      <c r="B226" s="53"/>
      <c r="C226" s="53" t="s">
        <v>122</v>
      </c>
      <c r="D226" s="32"/>
      <c r="E226" s="32">
        <v>100000</v>
      </c>
      <c r="F226" s="32"/>
    </row>
    <row r="227" spans="1:6" x14ac:dyDescent="0.25">
      <c r="A227" s="14">
        <v>58</v>
      </c>
      <c r="B227" s="19"/>
      <c r="C227" s="19" t="s">
        <v>61</v>
      </c>
      <c r="D227" s="18"/>
      <c r="E227" s="18">
        <v>79000</v>
      </c>
      <c r="F227" s="18"/>
    </row>
    <row r="228" spans="1:6" ht="15.75" x14ac:dyDescent="0.25">
      <c r="A228" s="14">
        <v>47</v>
      </c>
      <c r="B228" s="19"/>
      <c r="C228" s="21" t="s">
        <v>111</v>
      </c>
      <c r="D228" s="18"/>
      <c r="E228" s="40">
        <v>35000</v>
      </c>
      <c r="F228" s="18"/>
    </row>
    <row r="229" spans="1:6" ht="15.75" x14ac:dyDescent="0.25">
      <c r="A229" s="14">
        <v>48</v>
      </c>
      <c r="B229" s="55">
        <v>45768</v>
      </c>
      <c r="C229" s="21" t="s">
        <v>61</v>
      </c>
      <c r="D229" s="18"/>
      <c r="E229" s="40">
        <v>78000</v>
      </c>
      <c r="F229" s="18"/>
    </row>
    <row r="230" spans="1:6" ht="15.75" x14ac:dyDescent="0.25">
      <c r="A230" s="14">
        <v>36</v>
      </c>
      <c r="B230" s="16"/>
      <c r="C230" s="21" t="s">
        <v>55</v>
      </c>
      <c r="D230" s="40"/>
      <c r="E230" s="40">
        <v>600000</v>
      </c>
      <c r="F230" s="18"/>
    </row>
    <row r="231" spans="1:6" ht="15.75" x14ac:dyDescent="0.25">
      <c r="A231" s="14">
        <v>37</v>
      </c>
      <c r="B231" s="19"/>
      <c r="C231" s="21" t="s">
        <v>56</v>
      </c>
      <c r="D231" s="40"/>
      <c r="E231" s="40">
        <v>1510000</v>
      </c>
      <c r="F231" s="18"/>
    </row>
    <row r="232" spans="1:6" ht="15.75" x14ac:dyDescent="0.25">
      <c r="A232" s="22">
        <v>39</v>
      </c>
      <c r="B232" s="23"/>
      <c r="C232" s="24" t="s">
        <v>105</v>
      </c>
      <c r="D232" s="25"/>
      <c r="E232" s="46">
        <v>100000</v>
      </c>
      <c r="F232" s="25"/>
    </row>
    <row r="233" spans="1:6" ht="15.75" x14ac:dyDescent="0.25">
      <c r="A233" s="29">
        <v>41</v>
      </c>
      <c r="B233" s="53"/>
      <c r="C233" s="52" t="s">
        <v>68</v>
      </c>
      <c r="D233" s="32"/>
      <c r="E233" s="54">
        <v>6000</v>
      </c>
      <c r="F233" s="32"/>
    </row>
    <row r="234" spans="1:6" ht="15.75" x14ac:dyDescent="0.25">
      <c r="A234" s="14">
        <v>42</v>
      </c>
      <c r="B234" s="19"/>
      <c r="C234" s="21" t="s">
        <v>108</v>
      </c>
      <c r="D234" s="18"/>
      <c r="E234" s="40">
        <v>34000</v>
      </c>
      <c r="F234" s="18"/>
    </row>
    <row r="235" spans="1:6" ht="15.75" x14ac:dyDescent="0.25">
      <c r="A235" s="14">
        <v>43</v>
      </c>
      <c r="B235" s="19"/>
      <c r="C235" s="21" t="s">
        <v>109</v>
      </c>
      <c r="D235" s="18"/>
      <c r="E235" s="40">
        <v>150000</v>
      </c>
      <c r="F235" s="18"/>
    </row>
    <row r="236" spans="1:6" x14ac:dyDescent="0.25">
      <c r="A236" s="14">
        <v>59</v>
      </c>
      <c r="B236" s="19"/>
      <c r="C236" s="19" t="s">
        <v>123</v>
      </c>
      <c r="D236" s="18"/>
      <c r="E236" s="18">
        <v>40000000</v>
      </c>
      <c r="F236" s="18"/>
    </row>
    <row r="237" spans="1:6" x14ac:dyDescent="0.25">
      <c r="A237" s="14"/>
      <c r="B237" s="19"/>
      <c r="C237" s="19"/>
      <c r="D237" s="18"/>
      <c r="E237" s="18"/>
      <c r="F237" s="18"/>
    </row>
    <row r="238" spans="1:6" x14ac:dyDescent="0.25">
      <c r="A238" s="42"/>
      <c r="B238" s="35"/>
      <c r="C238" s="35" t="s">
        <v>71</v>
      </c>
      <c r="D238" s="36">
        <f>SUM(D177:D237)</f>
        <v>27615000</v>
      </c>
      <c r="E238" s="36">
        <f>SUM(E177:E237)</f>
        <v>53378700</v>
      </c>
      <c r="F238" s="36">
        <f>D238-E238</f>
        <v>-25763700</v>
      </c>
    </row>
    <row r="239" spans="1:6" x14ac:dyDescent="0.25">
      <c r="A239" s="37"/>
      <c r="D239" s="38"/>
      <c r="E239" s="38"/>
      <c r="F239" s="38"/>
    </row>
    <row r="240" spans="1:6" x14ac:dyDescent="0.25">
      <c r="A240" s="37"/>
      <c r="D240" s="137" t="s">
        <v>124</v>
      </c>
      <c r="E240" s="137"/>
      <c r="F240" s="137"/>
    </row>
    <row r="241" spans="1:6" x14ac:dyDescent="0.25">
      <c r="A241" s="133" t="s">
        <v>73</v>
      </c>
      <c r="B241" s="133"/>
      <c r="C241" s="133"/>
      <c r="D241" s="137" t="s">
        <v>74</v>
      </c>
      <c r="E241" s="137"/>
      <c r="F241" s="137"/>
    </row>
    <row r="242" spans="1:6" x14ac:dyDescent="0.25">
      <c r="A242" s="37"/>
      <c r="D242" s="38"/>
      <c r="E242" s="38"/>
      <c r="F242" s="38"/>
    </row>
    <row r="243" spans="1:6" x14ac:dyDescent="0.25">
      <c r="A243" s="37"/>
      <c r="D243" s="38"/>
      <c r="E243" s="38"/>
      <c r="F243" s="38"/>
    </row>
    <row r="244" spans="1:6" x14ac:dyDescent="0.25">
      <c r="A244" s="133" t="s">
        <v>75</v>
      </c>
      <c r="B244" s="133"/>
      <c r="C244" s="133"/>
      <c r="D244" s="137" t="s">
        <v>76</v>
      </c>
      <c r="E244" s="137"/>
      <c r="F244" s="137"/>
    </row>
    <row r="245" spans="1:6" x14ac:dyDescent="0.25">
      <c r="A245" s="37"/>
      <c r="B245" s="37"/>
      <c r="C245" s="37"/>
      <c r="D245" s="45"/>
      <c r="E245" s="45"/>
      <c r="F245" s="45"/>
    </row>
    <row r="248" spans="1:6" ht="15.75" x14ac:dyDescent="0.25">
      <c r="A248" s="138" t="s">
        <v>19</v>
      </c>
      <c r="B248" s="139"/>
      <c r="C248" s="139"/>
      <c r="D248" s="139"/>
      <c r="E248" s="139"/>
      <c r="F248" s="140"/>
    </row>
    <row r="249" spans="1:6" ht="15.75" x14ac:dyDescent="0.25">
      <c r="A249" s="141" t="s">
        <v>125</v>
      </c>
      <c r="B249" s="142"/>
      <c r="C249" s="142"/>
      <c r="D249" s="142"/>
      <c r="E249" s="142"/>
      <c r="F249" s="143"/>
    </row>
    <row r="250" spans="1:6" x14ac:dyDescent="0.25">
      <c r="A250" s="14" t="s">
        <v>1</v>
      </c>
      <c r="B250" s="14" t="s">
        <v>21</v>
      </c>
      <c r="C250" s="14" t="s">
        <v>22</v>
      </c>
      <c r="D250" s="15" t="s">
        <v>23</v>
      </c>
      <c r="E250" s="15" t="s">
        <v>24</v>
      </c>
      <c r="F250" s="15" t="s">
        <v>5</v>
      </c>
    </row>
    <row r="251" spans="1:6" x14ac:dyDescent="0.25">
      <c r="A251" s="14">
        <v>1</v>
      </c>
      <c r="B251" s="16">
        <v>45777</v>
      </c>
      <c r="C251" s="61" t="s">
        <v>126</v>
      </c>
      <c r="D251" s="15">
        <v>1100000</v>
      </c>
      <c r="E251" s="15"/>
      <c r="F251" s="15"/>
    </row>
    <row r="252" spans="1:6" x14ac:dyDescent="0.25">
      <c r="A252" s="14">
        <v>2</v>
      </c>
      <c r="B252" s="16">
        <v>45778</v>
      </c>
      <c r="C252" s="17" t="s">
        <v>31</v>
      </c>
      <c r="D252" s="40">
        <v>1255000</v>
      </c>
      <c r="E252" s="40"/>
      <c r="F252" s="18"/>
    </row>
    <row r="253" spans="1:6" x14ac:dyDescent="0.25">
      <c r="A253" s="14">
        <v>3</v>
      </c>
      <c r="B253" s="16">
        <v>45778</v>
      </c>
      <c r="C253" s="17" t="s">
        <v>27</v>
      </c>
      <c r="D253" s="40">
        <v>1400000</v>
      </c>
      <c r="E253" s="40"/>
      <c r="F253" s="40"/>
    </row>
    <row r="254" spans="1:6" x14ac:dyDescent="0.25">
      <c r="A254" s="14">
        <v>4</v>
      </c>
      <c r="B254" s="16">
        <v>45778</v>
      </c>
      <c r="C254" s="17" t="s">
        <v>30</v>
      </c>
      <c r="D254" s="40">
        <v>890000</v>
      </c>
      <c r="E254" s="40"/>
      <c r="F254" s="40"/>
    </row>
    <row r="255" spans="1:6" x14ac:dyDescent="0.25">
      <c r="A255" s="14">
        <v>5</v>
      </c>
      <c r="B255" s="16">
        <v>45779</v>
      </c>
      <c r="C255" s="17" t="s">
        <v>78</v>
      </c>
      <c r="D255" s="40">
        <v>2750000</v>
      </c>
      <c r="E255" s="40"/>
      <c r="F255" s="18"/>
    </row>
    <row r="256" spans="1:6" x14ac:dyDescent="0.25">
      <c r="A256" s="14">
        <v>6</v>
      </c>
      <c r="B256" s="16">
        <v>45779</v>
      </c>
      <c r="C256" s="17" t="s">
        <v>42</v>
      </c>
      <c r="D256" s="40">
        <v>2250000</v>
      </c>
      <c r="E256" s="40"/>
      <c r="F256" s="40"/>
    </row>
    <row r="257" spans="1:6" x14ac:dyDescent="0.25">
      <c r="A257" s="14">
        <v>7</v>
      </c>
      <c r="B257" s="16">
        <v>45779</v>
      </c>
      <c r="C257" s="17" t="s">
        <v>32</v>
      </c>
      <c r="D257" s="40">
        <v>1125000</v>
      </c>
      <c r="E257" s="40"/>
      <c r="F257" s="40"/>
    </row>
    <row r="258" spans="1:6" x14ac:dyDescent="0.25">
      <c r="A258" s="14">
        <v>8</v>
      </c>
      <c r="B258" s="16">
        <v>45779</v>
      </c>
      <c r="C258" s="17" t="s">
        <v>34</v>
      </c>
      <c r="D258" s="40">
        <v>1375000</v>
      </c>
      <c r="E258" s="40"/>
      <c r="F258" s="40"/>
    </row>
    <row r="259" spans="1:6" x14ac:dyDescent="0.25">
      <c r="A259" s="14">
        <v>9</v>
      </c>
      <c r="B259" s="16">
        <v>45779</v>
      </c>
      <c r="C259" s="17" t="s">
        <v>28</v>
      </c>
      <c r="D259" s="40">
        <v>1255000</v>
      </c>
      <c r="E259" s="40"/>
      <c r="F259" s="40"/>
    </row>
    <row r="260" spans="1:6" x14ac:dyDescent="0.25">
      <c r="A260" s="14">
        <v>10</v>
      </c>
      <c r="B260" s="16">
        <v>45780</v>
      </c>
      <c r="C260" s="17" t="s">
        <v>38</v>
      </c>
      <c r="D260" s="40">
        <v>410000</v>
      </c>
      <c r="E260" s="18"/>
      <c r="F260" s="18"/>
    </row>
    <row r="261" spans="1:6" x14ac:dyDescent="0.25">
      <c r="A261" s="14">
        <v>11</v>
      </c>
      <c r="B261" s="16">
        <v>45781</v>
      </c>
      <c r="C261" s="17" t="s">
        <v>41</v>
      </c>
      <c r="D261" s="40">
        <v>750000</v>
      </c>
      <c r="E261" s="40"/>
      <c r="F261" s="40"/>
    </row>
    <row r="262" spans="1:6" x14ac:dyDescent="0.25">
      <c r="A262" s="14">
        <v>12</v>
      </c>
      <c r="B262" s="16">
        <v>45782</v>
      </c>
      <c r="C262" s="17" t="s">
        <v>35</v>
      </c>
      <c r="D262" s="40">
        <v>880000</v>
      </c>
      <c r="E262" s="40"/>
      <c r="F262" s="40"/>
    </row>
    <row r="263" spans="1:6" x14ac:dyDescent="0.25">
      <c r="A263" s="14">
        <v>13</v>
      </c>
      <c r="B263" s="16">
        <v>45782</v>
      </c>
      <c r="C263" s="17" t="s">
        <v>36</v>
      </c>
      <c r="D263" s="40">
        <v>750000</v>
      </c>
      <c r="E263" s="40"/>
      <c r="F263" s="18"/>
    </row>
    <row r="264" spans="1:6" x14ac:dyDescent="0.25">
      <c r="A264" s="14">
        <v>14</v>
      </c>
      <c r="B264" s="16">
        <v>45782</v>
      </c>
      <c r="C264" s="17" t="s">
        <v>29</v>
      </c>
      <c r="D264" s="40">
        <v>750000</v>
      </c>
      <c r="E264" s="40"/>
      <c r="F264" s="18"/>
    </row>
    <row r="265" spans="1:6" x14ac:dyDescent="0.25">
      <c r="A265" s="14">
        <v>15</v>
      </c>
      <c r="B265" s="16">
        <v>45783</v>
      </c>
      <c r="C265" s="17" t="s">
        <v>127</v>
      </c>
      <c r="D265" s="40">
        <v>1500000</v>
      </c>
      <c r="E265" s="40"/>
      <c r="F265" s="18"/>
    </row>
    <row r="266" spans="1:6" x14ac:dyDescent="0.25">
      <c r="A266" s="14">
        <v>16</v>
      </c>
      <c r="B266" s="16">
        <v>45783</v>
      </c>
      <c r="C266" s="17" t="s">
        <v>47</v>
      </c>
      <c r="D266" s="40">
        <v>1500000</v>
      </c>
      <c r="E266" s="18"/>
      <c r="F266" s="18"/>
    </row>
    <row r="267" spans="1:6" x14ac:dyDescent="0.25">
      <c r="A267" s="14">
        <v>17</v>
      </c>
      <c r="B267" s="16">
        <v>45783</v>
      </c>
      <c r="C267" s="17" t="s">
        <v>26</v>
      </c>
      <c r="D267" s="40">
        <v>900000</v>
      </c>
      <c r="E267" s="40"/>
      <c r="F267" s="18"/>
    </row>
    <row r="268" spans="1:6" x14ac:dyDescent="0.25">
      <c r="A268" s="14">
        <v>18</v>
      </c>
      <c r="B268" s="16">
        <v>45784</v>
      </c>
      <c r="C268" s="17" t="s">
        <v>43</v>
      </c>
      <c r="D268" s="40">
        <v>900000</v>
      </c>
      <c r="E268" s="40"/>
      <c r="F268" s="40"/>
    </row>
    <row r="269" spans="1:6" x14ac:dyDescent="0.25">
      <c r="A269" s="14">
        <v>19</v>
      </c>
      <c r="B269" s="16">
        <v>45784</v>
      </c>
      <c r="C269" s="17" t="s">
        <v>89</v>
      </c>
      <c r="D269" s="40">
        <v>1355000</v>
      </c>
      <c r="E269" s="40"/>
      <c r="F269" s="40"/>
    </row>
    <row r="270" spans="1:6" x14ac:dyDescent="0.25">
      <c r="A270" s="14">
        <v>20</v>
      </c>
      <c r="B270" s="16">
        <v>45784</v>
      </c>
      <c r="C270" s="17" t="s">
        <v>90</v>
      </c>
      <c r="D270" s="40">
        <v>1255000</v>
      </c>
      <c r="E270" s="40"/>
      <c r="F270" s="40"/>
    </row>
    <row r="271" spans="1:6" x14ac:dyDescent="0.25">
      <c r="A271" s="14">
        <v>21</v>
      </c>
      <c r="B271" s="16">
        <v>45785</v>
      </c>
      <c r="C271" s="17" t="s">
        <v>45</v>
      </c>
      <c r="D271" s="40">
        <v>1275000</v>
      </c>
      <c r="E271" s="40"/>
      <c r="F271" s="18"/>
    </row>
    <row r="272" spans="1:6" x14ac:dyDescent="0.25">
      <c r="A272" s="14">
        <v>22</v>
      </c>
      <c r="B272" s="16">
        <v>45785</v>
      </c>
      <c r="C272" s="17" t="s">
        <v>48</v>
      </c>
      <c r="D272" s="40">
        <v>750000</v>
      </c>
      <c r="E272" s="18"/>
      <c r="F272" s="40"/>
    </row>
    <row r="273" spans="1:6" x14ac:dyDescent="0.25">
      <c r="A273" s="14">
        <v>23</v>
      </c>
      <c r="B273" s="16">
        <v>45785</v>
      </c>
      <c r="C273" s="17" t="s">
        <v>90</v>
      </c>
      <c r="D273" s="40">
        <v>1255000</v>
      </c>
      <c r="E273" s="40"/>
      <c r="F273" s="40"/>
    </row>
    <row r="274" spans="1:6" x14ac:dyDescent="0.25">
      <c r="A274" s="14">
        <v>24</v>
      </c>
      <c r="B274" s="16">
        <v>45785</v>
      </c>
      <c r="C274" s="17" t="s">
        <v>44</v>
      </c>
      <c r="D274" s="40">
        <v>1245000</v>
      </c>
      <c r="E274" s="40"/>
      <c r="F274" s="18"/>
    </row>
    <row r="275" spans="1:6" x14ac:dyDescent="0.25">
      <c r="A275" s="14">
        <v>25</v>
      </c>
      <c r="B275" s="16">
        <v>45785</v>
      </c>
      <c r="C275" s="17" t="s">
        <v>37</v>
      </c>
      <c r="D275" s="40">
        <v>750000</v>
      </c>
      <c r="E275" s="40"/>
      <c r="F275" s="40"/>
    </row>
    <row r="276" spans="1:6" x14ac:dyDescent="0.25">
      <c r="A276" s="14">
        <v>26</v>
      </c>
      <c r="B276" s="16">
        <v>45786</v>
      </c>
      <c r="C276" s="17" t="s">
        <v>89</v>
      </c>
      <c r="D276" s="40">
        <v>60000</v>
      </c>
      <c r="E276" s="40"/>
      <c r="F276" s="40"/>
    </row>
    <row r="277" spans="1:6" x14ac:dyDescent="0.25">
      <c r="A277" s="14">
        <v>27</v>
      </c>
      <c r="B277" s="16">
        <v>45787</v>
      </c>
      <c r="C277" s="17" t="s">
        <v>46</v>
      </c>
      <c r="D277" s="40">
        <v>1125000</v>
      </c>
      <c r="E277" s="40"/>
      <c r="F277" s="40"/>
    </row>
    <row r="278" spans="1:6" x14ac:dyDescent="0.25">
      <c r="A278" s="14">
        <v>28</v>
      </c>
      <c r="B278" s="16">
        <v>45791</v>
      </c>
      <c r="C278" s="17" t="s">
        <v>40</v>
      </c>
      <c r="D278" s="40">
        <v>1375000</v>
      </c>
      <c r="E278" s="40"/>
      <c r="F278" s="40"/>
    </row>
    <row r="279" spans="1:6" x14ac:dyDescent="0.25">
      <c r="A279" s="14">
        <v>29</v>
      </c>
      <c r="B279" s="16">
        <v>45791</v>
      </c>
      <c r="C279" s="17" t="s">
        <v>128</v>
      </c>
      <c r="D279" s="40">
        <v>750000</v>
      </c>
      <c r="E279" s="40"/>
      <c r="F279" s="40"/>
    </row>
    <row r="280" spans="1:6" x14ac:dyDescent="0.25">
      <c r="A280" s="14">
        <v>30</v>
      </c>
      <c r="B280" s="16">
        <v>45791</v>
      </c>
      <c r="C280" s="17" t="s">
        <v>129</v>
      </c>
      <c r="D280" s="40">
        <v>1600000</v>
      </c>
      <c r="E280" s="40"/>
      <c r="F280" s="40"/>
    </row>
    <row r="281" spans="1:6" x14ac:dyDescent="0.25">
      <c r="A281" s="14">
        <v>31</v>
      </c>
      <c r="B281" s="16">
        <v>45792</v>
      </c>
      <c r="C281" s="17" t="s">
        <v>33</v>
      </c>
      <c r="D281" s="40">
        <v>800000</v>
      </c>
      <c r="E281" s="40"/>
      <c r="F281" s="40"/>
    </row>
    <row r="282" spans="1:6" x14ac:dyDescent="0.25">
      <c r="A282" s="14">
        <v>32</v>
      </c>
      <c r="B282" s="16">
        <v>45792</v>
      </c>
      <c r="C282" s="17" t="s">
        <v>130</v>
      </c>
      <c r="D282" s="40">
        <v>1125000</v>
      </c>
      <c r="E282" s="40"/>
      <c r="F282" s="40"/>
    </row>
    <row r="283" spans="1:6" x14ac:dyDescent="0.25">
      <c r="A283" s="14">
        <v>33</v>
      </c>
      <c r="B283" s="16">
        <v>45796</v>
      </c>
      <c r="C283" s="17" t="s">
        <v>46</v>
      </c>
      <c r="D283" s="40">
        <v>1125000</v>
      </c>
      <c r="E283" s="40"/>
      <c r="F283" s="40"/>
    </row>
    <row r="284" spans="1:6" x14ac:dyDescent="0.25">
      <c r="A284" s="14">
        <v>34</v>
      </c>
      <c r="B284" s="16">
        <v>45800</v>
      </c>
      <c r="C284" s="17" t="s">
        <v>131</v>
      </c>
      <c r="D284" s="40">
        <v>125000</v>
      </c>
      <c r="E284" s="40"/>
      <c r="F284" s="40"/>
    </row>
    <row r="285" spans="1:6" x14ac:dyDescent="0.25">
      <c r="A285" s="14"/>
      <c r="B285" s="16"/>
      <c r="C285" s="41" t="s">
        <v>132</v>
      </c>
      <c r="D285" s="40"/>
      <c r="E285" s="40"/>
      <c r="F285" s="40"/>
    </row>
    <row r="286" spans="1:6" ht="15.75" x14ac:dyDescent="0.25">
      <c r="A286" s="14">
        <v>35</v>
      </c>
      <c r="B286" s="16">
        <v>45778</v>
      </c>
      <c r="C286" s="21" t="s">
        <v>50</v>
      </c>
      <c r="D286" s="18"/>
      <c r="E286" s="116">
        <v>1450000</v>
      </c>
      <c r="F286" s="18"/>
    </row>
    <row r="287" spans="1:6" ht="15.75" x14ac:dyDescent="0.25">
      <c r="A287" s="14">
        <v>36</v>
      </c>
      <c r="B287" s="16"/>
      <c r="C287" s="21" t="s">
        <v>51</v>
      </c>
      <c r="D287" s="18"/>
      <c r="E287" s="116">
        <v>1450000</v>
      </c>
      <c r="F287" s="40"/>
    </row>
    <row r="288" spans="1:6" ht="15.75" x14ac:dyDescent="0.25">
      <c r="A288" s="14">
        <v>37</v>
      </c>
      <c r="B288" s="16"/>
      <c r="C288" s="21" t="s">
        <v>52</v>
      </c>
      <c r="D288" s="18"/>
      <c r="E288" s="116">
        <v>1350000</v>
      </c>
      <c r="F288" s="18"/>
    </row>
    <row r="289" spans="1:6" ht="15.75" x14ac:dyDescent="0.25">
      <c r="A289" s="14">
        <v>38</v>
      </c>
      <c r="B289" s="14"/>
      <c r="C289" s="21" t="s">
        <v>53</v>
      </c>
      <c r="D289" s="18"/>
      <c r="E289" s="116">
        <v>1350000</v>
      </c>
      <c r="F289" s="18"/>
    </row>
    <row r="290" spans="1:6" ht="15.75" x14ac:dyDescent="0.25">
      <c r="A290" s="14">
        <v>39</v>
      </c>
      <c r="B290" s="14"/>
      <c r="C290" s="21" t="s">
        <v>133</v>
      </c>
      <c r="D290" s="40"/>
      <c r="E290" s="40">
        <v>100000</v>
      </c>
      <c r="F290" s="18"/>
    </row>
    <row r="291" spans="1:6" ht="15.75" x14ac:dyDescent="0.25">
      <c r="A291" s="14">
        <v>40</v>
      </c>
      <c r="B291" s="14"/>
      <c r="C291" s="21" t="s">
        <v>55</v>
      </c>
      <c r="D291" s="40"/>
      <c r="E291" s="40">
        <v>750000</v>
      </c>
      <c r="F291" s="18"/>
    </row>
    <row r="292" spans="1:6" ht="15.75" x14ac:dyDescent="0.25">
      <c r="A292" s="14">
        <v>41</v>
      </c>
      <c r="B292" s="14"/>
      <c r="C292" s="21" t="s">
        <v>56</v>
      </c>
      <c r="D292" s="40"/>
      <c r="E292" s="40">
        <v>1680000</v>
      </c>
      <c r="F292" s="18"/>
    </row>
    <row r="293" spans="1:6" x14ac:dyDescent="0.25">
      <c r="A293" s="14">
        <v>42</v>
      </c>
      <c r="B293" s="14"/>
      <c r="C293" s="19" t="s">
        <v>134</v>
      </c>
      <c r="D293" s="18"/>
      <c r="E293" s="18">
        <v>20000</v>
      </c>
      <c r="F293" s="18"/>
    </row>
    <row r="294" spans="1:6" x14ac:dyDescent="0.25">
      <c r="A294" s="14">
        <v>43</v>
      </c>
      <c r="B294" s="14"/>
      <c r="C294" s="19" t="s">
        <v>135</v>
      </c>
      <c r="D294" s="18"/>
      <c r="E294" s="18">
        <v>23000</v>
      </c>
      <c r="F294" s="18"/>
    </row>
    <row r="295" spans="1:6" x14ac:dyDescent="0.25">
      <c r="A295" s="14">
        <v>44</v>
      </c>
      <c r="B295" s="14"/>
      <c r="C295" s="19" t="s">
        <v>62</v>
      </c>
      <c r="D295" s="18"/>
      <c r="E295" s="18">
        <v>40000</v>
      </c>
      <c r="F295" s="18"/>
    </row>
    <row r="296" spans="1:6" x14ac:dyDescent="0.25">
      <c r="A296" s="14">
        <v>45</v>
      </c>
      <c r="B296" s="14"/>
      <c r="C296" s="19" t="s">
        <v>136</v>
      </c>
      <c r="D296" s="18"/>
      <c r="E296" s="18">
        <v>300000</v>
      </c>
      <c r="F296" s="18"/>
    </row>
    <row r="297" spans="1:6" x14ac:dyDescent="0.25">
      <c r="A297" s="14">
        <v>46</v>
      </c>
      <c r="B297" s="14"/>
      <c r="C297" s="19" t="s">
        <v>137</v>
      </c>
      <c r="D297" s="18"/>
      <c r="E297" s="18">
        <v>50000</v>
      </c>
      <c r="F297" s="18"/>
    </row>
    <row r="298" spans="1:6" x14ac:dyDescent="0.25">
      <c r="A298" s="14">
        <v>47</v>
      </c>
      <c r="B298" s="14"/>
      <c r="C298" s="19" t="s">
        <v>138</v>
      </c>
      <c r="D298" s="18"/>
      <c r="E298" s="18">
        <v>70000</v>
      </c>
      <c r="F298" s="18"/>
    </row>
    <row r="299" spans="1:6" x14ac:dyDescent="0.25">
      <c r="A299" s="14">
        <v>48</v>
      </c>
      <c r="B299" s="14"/>
      <c r="C299" s="19" t="s">
        <v>139</v>
      </c>
      <c r="D299" s="18"/>
      <c r="E299" s="18">
        <v>30000</v>
      </c>
      <c r="F299" s="18"/>
    </row>
    <row r="300" spans="1:6" x14ac:dyDescent="0.25">
      <c r="A300" s="14">
        <v>49</v>
      </c>
      <c r="B300" s="14"/>
      <c r="C300" s="19" t="s">
        <v>140</v>
      </c>
      <c r="D300" s="18"/>
      <c r="E300" s="18">
        <v>75000</v>
      </c>
      <c r="F300" s="18"/>
    </row>
    <row r="301" spans="1:6" x14ac:dyDescent="0.25">
      <c r="A301" s="14">
        <v>50</v>
      </c>
      <c r="B301" s="14"/>
      <c r="C301" s="19" t="s">
        <v>141</v>
      </c>
      <c r="D301" s="18"/>
      <c r="E301" s="18">
        <v>50000</v>
      </c>
      <c r="F301" s="18"/>
    </row>
    <row r="302" spans="1:6" x14ac:dyDescent="0.25">
      <c r="A302" s="14">
        <v>51</v>
      </c>
      <c r="B302" s="14"/>
      <c r="C302" s="19" t="s">
        <v>142</v>
      </c>
      <c r="D302" s="18"/>
      <c r="E302" s="18">
        <v>17500</v>
      </c>
      <c r="F302" s="18"/>
    </row>
    <row r="303" spans="1:6" x14ac:dyDescent="0.25">
      <c r="A303" s="14">
        <v>53</v>
      </c>
      <c r="B303" s="14"/>
      <c r="C303" s="19" t="s">
        <v>144</v>
      </c>
      <c r="D303" s="18"/>
      <c r="E303" s="18">
        <v>40000</v>
      </c>
      <c r="F303" s="18"/>
    </row>
    <row r="304" spans="1:6" x14ac:dyDescent="0.25">
      <c r="A304" s="14">
        <v>54</v>
      </c>
      <c r="B304" s="14"/>
      <c r="C304" s="19" t="s">
        <v>61</v>
      </c>
      <c r="D304" s="18"/>
      <c r="E304" s="18">
        <v>79000</v>
      </c>
      <c r="F304" s="18"/>
    </row>
    <row r="305" spans="1:6" x14ac:dyDescent="0.25">
      <c r="A305" s="14">
        <v>55</v>
      </c>
      <c r="B305" s="14"/>
      <c r="C305" s="19" t="s">
        <v>145</v>
      </c>
      <c r="D305" s="18"/>
      <c r="E305" s="18">
        <v>990000</v>
      </c>
      <c r="F305" s="18"/>
    </row>
    <row r="306" spans="1:6" x14ac:dyDescent="0.25">
      <c r="A306" s="14">
        <v>56</v>
      </c>
      <c r="B306" s="14"/>
      <c r="C306" s="19" t="s">
        <v>258</v>
      </c>
      <c r="D306" s="18"/>
      <c r="E306" s="18">
        <v>24000</v>
      </c>
      <c r="F306" s="18"/>
    </row>
    <row r="307" spans="1:6" x14ac:dyDescent="0.25">
      <c r="A307" s="22">
        <v>57</v>
      </c>
      <c r="B307" s="95"/>
      <c r="C307" s="48" t="s">
        <v>146</v>
      </c>
      <c r="D307" s="25"/>
      <c r="E307" s="28"/>
      <c r="F307" s="28"/>
    </row>
    <row r="308" spans="1:6" x14ac:dyDescent="0.25">
      <c r="A308" s="58"/>
      <c r="B308" s="85"/>
      <c r="C308" s="62" t="s">
        <v>147</v>
      </c>
      <c r="D308" s="60"/>
      <c r="E308" s="63">
        <v>9405000</v>
      </c>
      <c r="F308" s="63"/>
    </row>
    <row r="309" spans="1:6" x14ac:dyDescent="0.25">
      <c r="A309" s="29"/>
      <c r="B309" s="96"/>
      <c r="C309" s="51" t="s">
        <v>148</v>
      </c>
      <c r="D309" s="32"/>
      <c r="E309" s="33"/>
      <c r="F309" s="33"/>
    </row>
    <row r="310" spans="1:6" x14ac:dyDescent="0.25">
      <c r="A310" s="29">
        <v>58</v>
      </c>
      <c r="B310" s="29"/>
      <c r="C310" s="64" t="s">
        <v>149</v>
      </c>
      <c r="D310" s="32"/>
      <c r="E310" s="32">
        <v>110000</v>
      </c>
      <c r="F310" s="32"/>
    </row>
    <row r="311" spans="1:6" x14ac:dyDescent="0.25">
      <c r="A311" s="14">
        <v>63</v>
      </c>
      <c r="B311" s="14"/>
      <c r="C311" s="19" t="s">
        <v>152</v>
      </c>
      <c r="D311" s="18"/>
      <c r="E311" s="18">
        <v>439000</v>
      </c>
      <c r="F311" s="18"/>
    </row>
    <row r="312" spans="1:6" x14ac:dyDescent="0.25">
      <c r="A312" s="29">
        <v>64</v>
      </c>
      <c r="B312" s="14"/>
      <c r="C312" s="19" t="s">
        <v>153</v>
      </c>
      <c r="D312" s="18"/>
      <c r="E312" s="18">
        <v>648000</v>
      </c>
      <c r="F312" s="18"/>
    </row>
    <row r="313" spans="1:6" x14ac:dyDescent="0.25">
      <c r="A313" s="29">
        <v>65</v>
      </c>
      <c r="B313" s="14"/>
      <c r="C313" s="19" t="s">
        <v>154</v>
      </c>
      <c r="D313" s="18"/>
      <c r="E313" s="18"/>
      <c r="F313" s="18"/>
    </row>
    <row r="314" spans="1:6" x14ac:dyDescent="0.25">
      <c r="A314" s="14">
        <v>66</v>
      </c>
      <c r="B314" s="14"/>
      <c r="C314" s="19" t="s">
        <v>155</v>
      </c>
      <c r="D314" s="18"/>
      <c r="E314" s="18">
        <v>380000</v>
      </c>
      <c r="F314" s="18"/>
    </row>
    <row r="315" spans="1:6" x14ac:dyDescent="0.25">
      <c r="A315" s="29">
        <v>68</v>
      </c>
      <c r="B315" s="14"/>
      <c r="C315" s="19" t="s">
        <v>157</v>
      </c>
      <c r="D315" s="18"/>
      <c r="E315" s="18">
        <v>110000</v>
      </c>
      <c r="F315" s="18"/>
    </row>
    <row r="316" spans="1:6" x14ac:dyDescent="0.25">
      <c r="A316" s="14">
        <v>72</v>
      </c>
      <c r="B316" s="14"/>
      <c r="C316" s="19" t="s">
        <v>160</v>
      </c>
      <c r="D316" s="18"/>
      <c r="E316" s="18">
        <v>100000</v>
      </c>
      <c r="F316" s="18"/>
    </row>
    <row r="317" spans="1:6" x14ac:dyDescent="0.25">
      <c r="A317" s="29">
        <v>74</v>
      </c>
      <c r="B317" s="14"/>
      <c r="C317" s="19" t="s">
        <v>162</v>
      </c>
      <c r="D317" s="18"/>
      <c r="E317" s="18">
        <v>60000</v>
      </c>
      <c r="F317" s="18"/>
    </row>
    <row r="318" spans="1:6" x14ac:dyDescent="0.25">
      <c r="A318" s="14">
        <v>75</v>
      </c>
      <c r="B318" s="14"/>
      <c r="C318" s="19" t="s">
        <v>163</v>
      </c>
      <c r="D318" s="18"/>
      <c r="E318" s="18">
        <v>106000</v>
      </c>
      <c r="F318" s="18"/>
    </row>
    <row r="319" spans="1:6" x14ac:dyDescent="0.25">
      <c r="A319" s="29">
        <v>76</v>
      </c>
      <c r="B319" s="14"/>
      <c r="C319" s="19" t="s">
        <v>164</v>
      </c>
      <c r="D319" s="18"/>
      <c r="E319" s="18">
        <v>46500</v>
      </c>
      <c r="F319" s="18"/>
    </row>
    <row r="320" spans="1:6" x14ac:dyDescent="0.25">
      <c r="A320" s="29">
        <v>77</v>
      </c>
      <c r="B320" s="14"/>
      <c r="C320" s="19" t="s">
        <v>165</v>
      </c>
      <c r="D320" s="18"/>
      <c r="E320" s="18">
        <v>90000</v>
      </c>
      <c r="F320" s="18"/>
    </row>
    <row r="321" spans="1:6" x14ac:dyDescent="0.25">
      <c r="A321" s="14">
        <v>78</v>
      </c>
      <c r="B321" s="14"/>
      <c r="C321" s="19" t="s">
        <v>166</v>
      </c>
      <c r="D321" s="18"/>
      <c r="E321" s="18">
        <v>16000</v>
      </c>
      <c r="F321" s="18"/>
    </row>
    <row r="322" spans="1:6" x14ac:dyDescent="0.25">
      <c r="A322" s="29">
        <v>79</v>
      </c>
      <c r="B322" s="14"/>
      <c r="C322" s="19" t="s">
        <v>167</v>
      </c>
      <c r="D322" s="18"/>
      <c r="E322" s="18">
        <v>15000</v>
      </c>
      <c r="F322" s="18"/>
    </row>
    <row r="323" spans="1:6" x14ac:dyDescent="0.25">
      <c r="A323" s="29">
        <v>80</v>
      </c>
      <c r="B323" s="14"/>
      <c r="C323" s="19" t="s">
        <v>168</v>
      </c>
      <c r="D323" s="18"/>
      <c r="E323" s="18">
        <v>47500</v>
      </c>
      <c r="F323" s="18"/>
    </row>
    <row r="324" spans="1:6" x14ac:dyDescent="0.25">
      <c r="A324" s="14">
        <v>81</v>
      </c>
      <c r="B324" s="14"/>
      <c r="C324" s="19" t="s">
        <v>169</v>
      </c>
      <c r="D324" s="18"/>
      <c r="E324" s="18">
        <v>30000</v>
      </c>
      <c r="F324" s="18"/>
    </row>
    <row r="325" spans="1:6" x14ac:dyDescent="0.25">
      <c r="A325" s="29">
        <v>82</v>
      </c>
      <c r="B325" s="14"/>
      <c r="C325" s="19" t="s">
        <v>170</v>
      </c>
      <c r="D325" s="18"/>
      <c r="E325" s="18">
        <v>22000</v>
      </c>
      <c r="F325" s="18"/>
    </row>
    <row r="326" spans="1:6" x14ac:dyDescent="0.25">
      <c r="A326" s="14">
        <v>84</v>
      </c>
      <c r="B326" s="16">
        <v>45803</v>
      </c>
      <c r="C326" s="19" t="s">
        <v>172</v>
      </c>
      <c r="D326" s="18"/>
      <c r="E326" s="18">
        <v>50000</v>
      </c>
      <c r="F326" s="18"/>
    </row>
    <row r="327" spans="1:6" x14ac:dyDescent="0.25">
      <c r="A327" s="29">
        <v>86</v>
      </c>
      <c r="B327" s="14"/>
      <c r="C327" s="19" t="s">
        <v>174</v>
      </c>
      <c r="D327" s="18"/>
      <c r="E327" s="18">
        <v>58000</v>
      </c>
      <c r="F327" s="18"/>
    </row>
    <row r="328" spans="1:6" x14ac:dyDescent="0.25">
      <c r="A328" s="14">
        <v>87</v>
      </c>
      <c r="B328" s="14"/>
      <c r="C328" s="19" t="s">
        <v>175</v>
      </c>
      <c r="D328" s="18"/>
      <c r="E328" s="18">
        <v>11000</v>
      </c>
      <c r="F328" s="18"/>
    </row>
    <row r="329" spans="1:6" x14ac:dyDescent="0.25">
      <c r="A329" s="29">
        <v>88</v>
      </c>
      <c r="B329" s="16">
        <v>45804</v>
      </c>
      <c r="C329" s="19" t="s">
        <v>176</v>
      </c>
      <c r="D329" s="18"/>
      <c r="E329" s="18">
        <v>75000</v>
      </c>
      <c r="F329" s="18"/>
    </row>
    <row r="330" spans="1:6" x14ac:dyDescent="0.25">
      <c r="A330" s="14">
        <v>90</v>
      </c>
      <c r="B330" s="16">
        <v>45804</v>
      </c>
      <c r="C330" s="19" t="s">
        <v>162</v>
      </c>
      <c r="D330" s="18"/>
      <c r="E330" s="18">
        <v>44000</v>
      </c>
      <c r="F330" s="18"/>
    </row>
    <row r="331" spans="1:6" x14ac:dyDescent="0.25">
      <c r="A331" s="29">
        <v>91</v>
      </c>
      <c r="B331" s="16">
        <v>45806</v>
      </c>
      <c r="C331" s="19" t="s">
        <v>178</v>
      </c>
      <c r="D331" s="18"/>
      <c r="E331" s="18">
        <v>32000</v>
      </c>
      <c r="F331" s="18"/>
    </row>
    <row r="332" spans="1:6" x14ac:dyDescent="0.25">
      <c r="A332" s="29">
        <v>92</v>
      </c>
      <c r="B332" s="14"/>
      <c r="C332" s="19" t="s">
        <v>179</v>
      </c>
      <c r="D332" s="18"/>
      <c r="E332" s="18">
        <v>110000</v>
      </c>
      <c r="F332" s="18"/>
    </row>
    <row r="333" spans="1:6" x14ac:dyDescent="0.25">
      <c r="A333" s="14">
        <v>93</v>
      </c>
      <c r="B333" s="14"/>
      <c r="C333" s="19" t="s">
        <v>180</v>
      </c>
      <c r="D333" s="18"/>
      <c r="E333" s="18">
        <v>125000</v>
      </c>
      <c r="F333" s="18"/>
    </row>
    <row r="334" spans="1:6" x14ac:dyDescent="0.25">
      <c r="A334" s="14">
        <v>60</v>
      </c>
      <c r="B334" s="14"/>
      <c r="C334" s="19" t="s">
        <v>151</v>
      </c>
      <c r="D334" s="18"/>
      <c r="E334" s="18">
        <v>7500</v>
      </c>
      <c r="F334" s="18"/>
    </row>
    <row r="335" spans="1:6" x14ac:dyDescent="0.25">
      <c r="A335" s="29">
        <v>61</v>
      </c>
      <c r="B335" s="14"/>
      <c r="C335" s="19" t="s">
        <v>61</v>
      </c>
      <c r="D335" s="18"/>
      <c r="E335" s="116">
        <v>79000</v>
      </c>
      <c r="F335" s="18"/>
    </row>
    <row r="336" spans="1:6" x14ac:dyDescent="0.25">
      <c r="A336" s="29">
        <v>59</v>
      </c>
      <c r="B336" s="14"/>
      <c r="C336" s="19" t="s">
        <v>150</v>
      </c>
      <c r="D336" s="18"/>
      <c r="E336" s="116">
        <v>133000</v>
      </c>
      <c r="F336" s="18"/>
    </row>
    <row r="337" spans="1:6" x14ac:dyDescent="0.25">
      <c r="A337" s="14">
        <v>52</v>
      </c>
      <c r="B337" s="14"/>
      <c r="C337" s="19" t="s">
        <v>143</v>
      </c>
      <c r="D337" s="18"/>
      <c r="E337" s="116">
        <v>22000</v>
      </c>
      <c r="F337" s="18"/>
    </row>
    <row r="338" spans="1:6" x14ac:dyDescent="0.25">
      <c r="A338" s="29">
        <v>62</v>
      </c>
      <c r="B338" s="14"/>
      <c r="C338" s="19" t="s">
        <v>143</v>
      </c>
      <c r="D338" s="18"/>
      <c r="E338" s="116">
        <v>17000</v>
      </c>
      <c r="F338" s="18"/>
    </row>
    <row r="339" spans="1:6" x14ac:dyDescent="0.25">
      <c r="A339" s="14">
        <v>69</v>
      </c>
      <c r="B339" s="14"/>
      <c r="C339" s="19" t="s">
        <v>122</v>
      </c>
      <c r="D339" s="18"/>
      <c r="E339" s="116">
        <v>110000</v>
      </c>
      <c r="F339" s="18"/>
    </row>
    <row r="340" spans="1:6" x14ac:dyDescent="0.25">
      <c r="A340" s="29">
        <v>85</v>
      </c>
      <c r="B340" s="14"/>
      <c r="C340" s="19" t="s">
        <v>173</v>
      </c>
      <c r="D340" s="18"/>
      <c r="E340" s="18">
        <v>15000000</v>
      </c>
      <c r="F340" s="18"/>
    </row>
    <row r="341" spans="1:6" x14ac:dyDescent="0.25">
      <c r="A341" s="29">
        <v>67</v>
      </c>
      <c r="B341" s="14"/>
      <c r="C341" s="19" t="s">
        <v>156</v>
      </c>
      <c r="D341" s="18"/>
      <c r="E341" s="18">
        <v>5745000</v>
      </c>
      <c r="F341" s="18"/>
    </row>
    <row r="342" spans="1:6" x14ac:dyDescent="0.25">
      <c r="A342" s="29">
        <v>73</v>
      </c>
      <c r="B342" s="16">
        <v>45801</v>
      </c>
      <c r="C342" s="19" t="s">
        <v>161</v>
      </c>
      <c r="D342" s="18"/>
      <c r="E342" s="18">
        <v>10000000</v>
      </c>
      <c r="F342" s="18"/>
    </row>
    <row r="343" spans="1:6" x14ac:dyDescent="0.25">
      <c r="A343" s="29">
        <v>71</v>
      </c>
      <c r="B343" s="14"/>
      <c r="C343" s="19" t="s">
        <v>159</v>
      </c>
      <c r="D343" s="18"/>
      <c r="E343" s="18">
        <v>1599000</v>
      </c>
      <c r="F343" s="18"/>
    </row>
    <row r="344" spans="1:6" x14ac:dyDescent="0.25">
      <c r="A344" s="29">
        <v>83</v>
      </c>
      <c r="B344" s="14"/>
      <c r="C344" s="19" t="s">
        <v>171</v>
      </c>
      <c r="D344" s="18"/>
      <c r="E344" s="18">
        <v>400000</v>
      </c>
      <c r="F344" s="18"/>
    </row>
    <row r="345" spans="1:6" x14ac:dyDescent="0.25">
      <c r="A345" s="29">
        <v>89</v>
      </c>
      <c r="B345" s="16">
        <v>45804</v>
      </c>
      <c r="C345" s="19" t="s">
        <v>177</v>
      </c>
      <c r="D345" s="18"/>
      <c r="E345" s="18">
        <v>349000</v>
      </c>
      <c r="F345" s="18"/>
    </row>
    <row r="346" spans="1:6" x14ac:dyDescent="0.25">
      <c r="A346" s="29">
        <v>70</v>
      </c>
      <c r="B346" s="16">
        <v>45796</v>
      </c>
      <c r="C346" s="19" t="s">
        <v>158</v>
      </c>
      <c r="D346" s="18"/>
      <c r="E346" s="116">
        <v>633600</v>
      </c>
      <c r="F346" s="18"/>
    </row>
    <row r="347" spans="1:6" x14ac:dyDescent="0.25">
      <c r="A347" s="14"/>
      <c r="B347" s="14"/>
      <c r="C347" s="19"/>
      <c r="D347" s="18"/>
      <c r="E347" s="18"/>
      <c r="F347" s="18"/>
    </row>
    <row r="348" spans="1:6" x14ac:dyDescent="0.25">
      <c r="A348" s="42"/>
      <c r="B348" s="42"/>
      <c r="C348" s="35" t="s">
        <v>71</v>
      </c>
      <c r="D348" s="36">
        <f>SUM(D251:D347)</f>
        <v>37710000</v>
      </c>
      <c r="E348" s="36">
        <f>SUM(E251:E347)</f>
        <v>56163600</v>
      </c>
      <c r="F348" s="36">
        <f>D348-E348</f>
        <v>-18453600</v>
      </c>
    </row>
    <row r="349" spans="1:6" x14ac:dyDescent="0.25">
      <c r="A349" s="85"/>
      <c r="B349" s="85"/>
      <c r="D349" s="38"/>
      <c r="E349" s="38"/>
      <c r="F349" s="38"/>
    </row>
    <row r="350" spans="1:6" x14ac:dyDescent="0.25">
      <c r="A350" s="85"/>
      <c r="B350" s="85"/>
      <c r="D350" s="137" t="s">
        <v>181</v>
      </c>
      <c r="E350" s="137"/>
      <c r="F350" s="137"/>
    </row>
    <row r="351" spans="1:6" x14ac:dyDescent="0.25">
      <c r="A351" s="133" t="s">
        <v>73</v>
      </c>
      <c r="B351" s="133"/>
      <c r="C351" s="133"/>
      <c r="D351" s="137" t="s">
        <v>74</v>
      </c>
      <c r="E351" s="137"/>
      <c r="F351" s="137"/>
    </row>
    <row r="352" spans="1:6" x14ac:dyDescent="0.25">
      <c r="A352" s="85"/>
      <c r="B352" s="85"/>
      <c r="D352" s="38"/>
      <c r="E352" s="38"/>
      <c r="F352" s="38"/>
    </row>
    <row r="353" spans="1:6" x14ac:dyDescent="0.25">
      <c r="A353" s="85"/>
      <c r="B353" s="85"/>
      <c r="D353" s="38"/>
      <c r="E353" s="38"/>
      <c r="F353" s="38"/>
    </row>
    <row r="354" spans="1:6" x14ac:dyDescent="0.25">
      <c r="A354" s="133" t="s">
        <v>75</v>
      </c>
      <c r="B354" s="133"/>
      <c r="C354" s="133"/>
      <c r="D354" s="137" t="s">
        <v>76</v>
      </c>
      <c r="E354" s="137"/>
      <c r="F354" s="137"/>
    </row>
    <row r="355" spans="1:6" x14ac:dyDescent="0.25">
      <c r="A355" s="85"/>
      <c r="B355" s="85"/>
      <c r="D355" s="38"/>
      <c r="E355" s="38"/>
      <c r="F355" s="38"/>
    </row>
    <row r="356" spans="1:6" x14ac:dyDescent="0.25">
      <c r="A356" s="85"/>
      <c r="B356" s="85"/>
      <c r="D356" s="38"/>
      <c r="E356" s="38"/>
      <c r="F356" s="38"/>
    </row>
    <row r="357" spans="1:6" ht="15.75" x14ac:dyDescent="0.25">
      <c r="A357" s="138" t="s">
        <v>19</v>
      </c>
      <c r="B357" s="139"/>
      <c r="C357" s="139"/>
      <c r="D357" s="139"/>
      <c r="E357" s="139"/>
      <c r="F357" s="140"/>
    </row>
    <row r="358" spans="1:6" ht="15.75" x14ac:dyDescent="0.25">
      <c r="A358" s="141" t="s">
        <v>259</v>
      </c>
      <c r="B358" s="142"/>
      <c r="C358" s="142"/>
      <c r="D358" s="142"/>
      <c r="E358" s="142"/>
      <c r="F358" s="143"/>
    </row>
    <row r="359" spans="1:6" x14ac:dyDescent="0.25">
      <c r="A359" s="14" t="s">
        <v>1</v>
      </c>
      <c r="B359" s="14" t="s">
        <v>21</v>
      </c>
      <c r="C359" s="14" t="s">
        <v>22</v>
      </c>
      <c r="D359" s="15" t="s">
        <v>23</v>
      </c>
      <c r="E359" s="15" t="s">
        <v>24</v>
      </c>
      <c r="F359" s="15" t="s">
        <v>5</v>
      </c>
    </row>
    <row r="360" spans="1:6" x14ac:dyDescent="0.25">
      <c r="A360" s="14">
        <v>1</v>
      </c>
      <c r="B360" s="16">
        <v>45809</v>
      </c>
      <c r="C360" s="17" t="s">
        <v>26</v>
      </c>
      <c r="D360" s="40">
        <v>900000</v>
      </c>
      <c r="E360" s="18"/>
      <c r="F360" s="18"/>
    </row>
    <row r="361" spans="1:6" x14ac:dyDescent="0.25">
      <c r="A361" s="14">
        <v>2</v>
      </c>
      <c r="B361" s="16">
        <v>45809</v>
      </c>
      <c r="C361" s="17" t="s">
        <v>34</v>
      </c>
      <c r="D361" s="40">
        <v>1375000</v>
      </c>
      <c r="E361" s="18"/>
      <c r="F361" s="18"/>
    </row>
    <row r="362" spans="1:6" x14ac:dyDescent="0.25">
      <c r="A362" s="14">
        <v>3</v>
      </c>
      <c r="B362" s="16">
        <v>45810</v>
      </c>
      <c r="C362" s="17" t="s">
        <v>99</v>
      </c>
      <c r="D362" s="40">
        <v>2250000</v>
      </c>
      <c r="E362" s="18"/>
      <c r="F362" s="18"/>
    </row>
    <row r="363" spans="1:6" x14ac:dyDescent="0.25">
      <c r="A363" s="14">
        <v>4</v>
      </c>
      <c r="B363" s="16">
        <v>45810</v>
      </c>
      <c r="C363" s="17" t="s">
        <v>32</v>
      </c>
      <c r="D363" s="40">
        <v>1125000</v>
      </c>
      <c r="E363" s="18"/>
      <c r="F363" s="18"/>
    </row>
    <row r="364" spans="1:6" x14ac:dyDescent="0.25">
      <c r="A364" s="14">
        <v>5</v>
      </c>
      <c r="B364" s="16">
        <v>45810</v>
      </c>
      <c r="C364" s="17" t="s">
        <v>29</v>
      </c>
      <c r="D364" s="40">
        <v>750000</v>
      </c>
      <c r="E364" s="18"/>
      <c r="F364" s="18"/>
    </row>
    <row r="365" spans="1:6" x14ac:dyDescent="0.25">
      <c r="A365" s="14">
        <v>6</v>
      </c>
      <c r="B365" s="16">
        <v>45811</v>
      </c>
      <c r="C365" s="17" t="s">
        <v>27</v>
      </c>
      <c r="D365" s="40">
        <v>1420000</v>
      </c>
      <c r="E365" s="18"/>
      <c r="F365" s="18"/>
    </row>
    <row r="366" spans="1:6" x14ac:dyDescent="0.25">
      <c r="A366" s="14">
        <v>7</v>
      </c>
      <c r="B366" s="16">
        <v>45811</v>
      </c>
      <c r="C366" s="17" t="s">
        <v>31</v>
      </c>
      <c r="D366" s="40">
        <v>1275000</v>
      </c>
      <c r="E366" s="18"/>
      <c r="F366" s="18"/>
    </row>
    <row r="367" spans="1:6" x14ac:dyDescent="0.25">
      <c r="A367" s="14">
        <v>8</v>
      </c>
      <c r="B367" s="16">
        <v>45811</v>
      </c>
      <c r="C367" s="17" t="s">
        <v>45</v>
      </c>
      <c r="D367" s="40">
        <v>1295000</v>
      </c>
      <c r="E367" s="18"/>
      <c r="F367" s="18"/>
    </row>
    <row r="368" spans="1:6" x14ac:dyDescent="0.25">
      <c r="A368" s="14">
        <v>9</v>
      </c>
      <c r="B368" s="16">
        <v>45811</v>
      </c>
      <c r="C368" s="17" t="s">
        <v>28</v>
      </c>
      <c r="D368" s="40">
        <v>1295000</v>
      </c>
      <c r="E368" s="18"/>
      <c r="F368" s="18"/>
    </row>
    <row r="369" spans="1:6" x14ac:dyDescent="0.25">
      <c r="A369" s="14">
        <v>10</v>
      </c>
      <c r="B369" s="16">
        <v>45812</v>
      </c>
      <c r="C369" s="17" t="s">
        <v>90</v>
      </c>
      <c r="D369" s="40">
        <v>1295000</v>
      </c>
      <c r="E369" s="18"/>
      <c r="F369" s="18"/>
    </row>
    <row r="370" spans="1:6" x14ac:dyDescent="0.25">
      <c r="A370" s="14">
        <v>11</v>
      </c>
      <c r="B370" s="16">
        <v>45812</v>
      </c>
      <c r="C370" s="17" t="s">
        <v>40</v>
      </c>
      <c r="D370" s="40">
        <v>1375000</v>
      </c>
      <c r="E370" s="18"/>
      <c r="F370" s="18"/>
    </row>
    <row r="371" spans="1:6" x14ac:dyDescent="0.25">
      <c r="A371" s="14">
        <v>12</v>
      </c>
      <c r="B371" s="16">
        <v>45812</v>
      </c>
      <c r="C371" s="17" t="s">
        <v>260</v>
      </c>
      <c r="D371" s="40">
        <v>750000</v>
      </c>
      <c r="E371" s="18"/>
      <c r="F371" s="18"/>
    </row>
    <row r="372" spans="1:6" x14ac:dyDescent="0.25">
      <c r="A372" s="14">
        <v>13</v>
      </c>
      <c r="B372" s="16">
        <v>45812</v>
      </c>
      <c r="C372" s="17" t="s">
        <v>43</v>
      </c>
      <c r="D372" s="40">
        <v>910000</v>
      </c>
      <c r="E372" s="18"/>
      <c r="F372" s="18"/>
    </row>
    <row r="373" spans="1:6" x14ac:dyDescent="0.25">
      <c r="A373" s="14">
        <v>14</v>
      </c>
      <c r="B373" s="16">
        <v>45812</v>
      </c>
      <c r="C373" s="17" t="s">
        <v>37</v>
      </c>
      <c r="D373" s="40">
        <v>750000</v>
      </c>
      <c r="E373" s="18"/>
      <c r="F373" s="18"/>
    </row>
    <row r="374" spans="1:6" x14ac:dyDescent="0.25">
      <c r="A374" s="14">
        <v>15</v>
      </c>
      <c r="B374" s="16">
        <v>45813</v>
      </c>
      <c r="C374" s="17" t="s">
        <v>42</v>
      </c>
      <c r="D374" s="40">
        <v>1125000</v>
      </c>
      <c r="E374" s="18"/>
      <c r="F374" s="18"/>
    </row>
    <row r="375" spans="1:6" x14ac:dyDescent="0.25">
      <c r="A375" s="14">
        <v>16</v>
      </c>
      <c r="B375" s="16">
        <v>45813</v>
      </c>
      <c r="C375" s="17" t="s">
        <v>48</v>
      </c>
      <c r="D375" s="40">
        <v>750000</v>
      </c>
      <c r="E375" s="18"/>
      <c r="F375" s="18"/>
    </row>
    <row r="376" spans="1:6" x14ac:dyDescent="0.25">
      <c r="A376" s="14">
        <v>17</v>
      </c>
      <c r="B376" s="16">
        <v>45815</v>
      </c>
      <c r="C376" s="17" t="s">
        <v>36</v>
      </c>
      <c r="D376" s="40">
        <v>750000</v>
      </c>
      <c r="E376" s="18"/>
      <c r="F376" s="18"/>
    </row>
    <row r="377" spans="1:6" x14ac:dyDescent="0.25">
      <c r="A377" s="14">
        <v>18</v>
      </c>
      <c r="B377" s="16">
        <v>45817</v>
      </c>
      <c r="C377" s="17" t="s">
        <v>35</v>
      </c>
      <c r="D377" s="40">
        <v>900000</v>
      </c>
      <c r="E377" s="18"/>
      <c r="F377" s="18"/>
    </row>
    <row r="378" spans="1:6" x14ac:dyDescent="0.25">
      <c r="A378" s="14">
        <v>19</v>
      </c>
      <c r="B378" s="16">
        <v>45818</v>
      </c>
      <c r="C378" s="17" t="s">
        <v>89</v>
      </c>
      <c r="D378" s="40">
        <v>1355000</v>
      </c>
      <c r="E378" s="18"/>
      <c r="F378" s="18"/>
    </row>
    <row r="379" spans="1:6" x14ac:dyDescent="0.25">
      <c r="A379" s="14">
        <v>20</v>
      </c>
      <c r="B379" s="16">
        <v>45819</v>
      </c>
      <c r="C379" s="19" t="s">
        <v>127</v>
      </c>
      <c r="D379" s="18">
        <v>750000</v>
      </c>
      <c r="E379" s="18"/>
      <c r="F379" s="18"/>
    </row>
    <row r="380" spans="1:6" x14ac:dyDescent="0.25">
      <c r="A380" s="14">
        <v>21</v>
      </c>
      <c r="B380" s="16">
        <v>45819</v>
      </c>
      <c r="C380" s="19" t="s">
        <v>25</v>
      </c>
      <c r="D380" s="18">
        <v>750000</v>
      </c>
      <c r="E380" s="18"/>
      <c r="F380" s="18"/>
    </row>
    <row r="381" spans="1:6" x14ac:dyDescent="0.25">
      <c r="A381" s="14">
        <v>22</v>
      </c>
      <c r="B381" s="16">
        <v>45820</v>
      </c>
      <c r="C381" s="19" t="s">
        <v>261</v>
      </c>
      <c r="D381" s="18">
        <v>1265000</v>
      </c>
      <c r="E381" s="18"/>
      <c r="F381" s="18"/>
    </row>
    <row r="382" spans="1:6" x14ac:dyDescent="0.25">
      <c r="A382" s="14">
        <v>23</v>
      </c>
      <c r="B382" s="16">
        <v>45821</v>
      </c>
      <c r="C382" s="17" t="s">
        <v>47</v>
      </c>
      <c r="D382" s="40">
        <v>750000</v>
      </c>
      <c r="E382" s="18"/>
      <c r="F382" s="18"/>
    </row>
    <row r="383" spans="1:6" x14ac:dyDescent="0.25">
      <c r="A383" s="14">
        <v>24</v>
      </c>
      <c r="B383" s="16">
        <v>45821</v>
      </c>
      <c r="C383" s="17" t="s">
        <v>129</v>
      </c>
      <c r="D383" s="40">
        <v>425000</v>
      </c>
      <c r="E383" s="18"/>
      <c r="F383" s="18"/>
    </row>
    <row r="384" spans="1:6" x14ac:dyDescent="0.25">
      <c r="A384" s="14">
        <v>25</v>
      </c>
      <c r="B384" s="16">
        <v>45824</v>
      </c>
      <c r="C384" s="17" t="s">
        <v>33</v>
      </c>
      <c r="D384" s="40">
        <v>675000</v>
      </c>
      <c r="E384" s="18"/>
      <c r="F384" s="18"/>
    </row>
    <row r="385" spans="1:6" x14ac:dyDescent="0.25">
      <c r="A385" s="14">
        <v>26</v>
      </c>
      <c r="B385" s="16">
        <v>45827</v>
      </c>
      <c r="C385" s="17" t="s">
        <v>262</v>
      </c>
      <c r="D385" s="40">
        <v>1100000</v>
      </c>
      <c r="E385" s="18"/>
      <c r="F385" s="18"/>
    </row>
    <row r="386" spans="1:6" x14ac:dyDescent="0.25">
      <c r="A386" s="14">
        <v>27</v>
      </c>
      <c r="B386" s="16">
        <v>45836</v>
      </c>
      <c r="C386" s="19" t="s">
        <v>78</v>
      </c>
      <c r="D386" s="18">
        <v>1125000</v>
      </c>
      <c r="E386" s="18"/>
      <c r="F386" s="18"/>
    </row>
    <row r="387" spans="1:6" x14ac:dyDescent="0.25">
      <c r="A387" s="14">
        <v>28</v>
      </c>
      <c r="B387" s="16">
        <v>45838</v>
      </c>
      <c r="C387" s="19" t="s">
        <v>46</v>
      </c>
      <c r="D387" s="18">
        <v>1125000</v>
      </c>
      <c r="E387" s="18"/>
      <c r="F387" s="18"/>
    </row>
    <row r="388" spans="1:6" x14ac:dyDescent="0.25">
      <c r="A388" s="14">
        <v>29</v>
      </c>
      <c r="B388" s="16">
        <v>45838</v>
      </c>
      <c r="C388" s="19" t="s">
        <v>263</v>
      </c>
      <c r="D388" s="18">
        <v>625000</v>
      </c>
      <c r="E388" s="18"/>
      <c r="F388" s="18"/>
    </row>
    <row r="389" spans="1:6" x14ac:dyDescent="0.25">
      <c r="A389" s="14">
        <v>30</v>
      </c>
      <c r="B389" s="16">
        <v>45838</v>
      </c>
      <c r="C389" s="19" t="s">
        <v>264</v>
      </c>
      <c r="D389" s="18">
        <v>1100000</v>
      </c>
      <c r="E389" s="18"/>
      <c r="F389" s="18"/>
    </row>
    <row r="390" spans="1:6" x14ac:dyDescent="0.25">
      <c r="A390" s="14">
        <v>31</v>
      </c>
      <c r="B390" s="16">
        <v>45838</v>
      </c>
      <c r="C390" s="19" t="s">
        <v>265</v>
      </c>
      <c r="D390" s="18">
        <v>1100000</v>
      </c>
      <c r="E390" s="18"/>
      <c r="F390" s="18"/>
    </row>
    <row r="391" spans="1:6" x14ac:dyDescent="0.25">
      <c r="A391" s="14"/>
      <c r="B391" s="97"/>
      <c r="C391" s="20" t="s">
        <v>132</v>
      </c>
      <c r="D391" s="18"/>
      <c r="E391" s="18"/>
      <c r="F391" s="18"/>
    </row>
    <row r="392" spans="1:6" ht="15.75" x14ac:dyDescent="0.25">
      <c r="A392" s="14">
        <v>32</v>
      </c>
      <c r="B392" s="16">
        <v>45809</v>
      </c>
      <c r="C392" s="21" t="s">
        <v>50</v>
      </c>
      <c r="D392" s="18"/>
      <c r="E392" s="116">
        <v>1450000</v>
      </c>
      <c r="F392" s="18"/>
    </row>
    <row r="393" spans="1:6" ht="15.75" x14ac:dyDescent="0.25">
      <c r="A393" s="14">
        <v>33</v>
      </c>
      <c r="B393" s="16"/>
      <c r="C393" s="21" t="s">
        <v>51</v>
      </c>
      <c r="D393" s="18"/>
      <c r="E393" s="116">
        <v>1450000</v>
      </c>
      <c r="F393" s="18"/>
    </row>
    <row r="394" spans="1:6" ht="15.75" x14ac:dyDescent="0.25">
      <c r="A394" s="14">
        <v>34</v>
      </c>
      <c r="B394" s="16"/>
      <c r="C394" s="21" t="s">
        <v>52</v>
      </c>
      <c r="D394" s="18"/>
      <c r="E394" s="116">
        <v>700000</v>
      </c>
      <c r="F394" s="18"/>
    </row>
    <row r="395" spans="1:6" ht="15.75" x14ac:dyDescent="0.25">
      <c r="A395" s="14">
        <v>35</v>
      </c>
      <c r="B395" s="14"/>
      <c r="C395" s="21" t="s">
        <v>53</v>
      </c>
      <c r="D395" s="18"/>
      <c r="E395" s="116">
        <v>1350000</v>
      </c>
      <c r="F395" s="18"/>
    </row>
    <row r="396" spans="1:6" ht="15.75" x14ac:dyDescent="0.25">
      <c r="A396" s="14">
        <v>36</v>
      </c>
      <c r="B396" s="14"/>
      <c r="C396" s="21" t="s">
        <v>133</v>
      </c>
      <c r="D396" s="40"/>
      <c r="E396" s="40">
        <v>100000</v>
      </c>
      <c r="F396" s="18"/>
    </row>
    <row r="397" spans="1:6" ht="15.75" x14ac:dyDescent="0.25">
      <c r="A397" s="14">
        <v>43</v>
      </c>
      <c r="B397" s="14"/>
      <c r="C397" s="21" t="s">
        <v>270</v>
      </c>
      <c r="D397" s="18"/>
      <c r="E397" s="18">
        <v>37000</v>
      </c>
      <c r="F397" s="18"/>
    </row>
    <row r="398" spans="1:6" ht="15.75" x14ac:dyDescent="0.25">
      <c r="A398" s="14">
        <v>44</v>
      </c>
      <c r="B398" s="14"/>
      <c r="C398" s="21" t="s">
        <v>271</v>
      </c>
      <c r="D398" s="18"/>
      <c r="E398" s="18">
        <v>75000</v>
      </c>
      <c r="F398" s="18"/>
    </row>
    <row r="399" spans="1:6" ht="15.75" x14ac:dyDescent="0.25">
      <c r="A399" s="14">
        <v>45</v>
      </c>
      <c r="B399" s="14"/>
      <c r="C399" s="21" t="s">
        <v>272</v>
      </c>
      <c r="D399" s="18"/>
      <c r="E399" s="18">
        <v>135000</v>
      </c>
      <c r="F399" s="18"/>
    </row>
    <row r="400" spans="1:6" ht="15.75" x14ac:dyDescent="0.25">
      <c r="A400" s="14">
        <v>46</v>
      </c>
      <c r="B400" s="14"/>
      <c r="C400" s="21" t="s">
        <v>273</v>
      </c>
      <c r="D400" s="18"/>
      <c r="E400" s="18">
        <v>15000</v>
      </c>
      <c r="F400" s="18"/>
    </row>
    <row r="401" spans="1:6" ht="15.75" x14ac:dyDescent="0.25">
      <c r="A401" s="14">
        <v>48</v>
      </c>
      <c r="B401" s="14"/>
      <c r="C401" s="21" t="s">
        <v>271</v>
      </c>
      <c r="D401" s="18"/>
      <c r="E401" s="18">
        <v>75000</v>
      </c>
      <c r="F401" s="18"/>
    </row>
    <row r="402" spans="1:6" ht="15.75" x14ac:dyDescent="0.25">
      <c r="A402" s="14">
        <v>49</v>
      </c>
      <c r="B402" s="14"/>
      <c r="C402" s="21" t="s">
        <v>270</v>
      </c>
      <c r="D402" s="18"/>
      <c r="E402" s="18">
        <v>37000</v>
      </c>
      <c r="F402" s="18"/>
    </row>
    <row r="403" spans="1:6" ht="15.75" x14ac:dyDescent="0.25">
      <c r="A403" s="14">
        <v>50</v>
      </c>
      <c r="B403" s="14"/>
      <c r="C403" s="21" t="s">
        <v>275</v>
      </c>
      <c r="D403" s="18"/>
      <c r="E403" s="18">
        <v>29600</v>
      </c>
      <c r="F403" s="18"/>
    </row>
    <row r="404" spans="1:6" ht="15.75" x14ac:dyDescent="0.25">
      <c r="A404" s="14">
        <v>51</v>
      </c>
      <c r="B404" s="14"/>
      <c r="C404" s="21" t="s">
        <v>276</v>
      </c>
      <c r="D404" s="18"/>
      <c r="E404" s="18">
        <v>31500</v>
      </c>
      <c r="F404" s="18"/>
    </row>
    <row r="405" spans="1:6" ht="15.75" x14ac:dyDescent="0.25">
      <c r="A405" s="14">
        <v>52</v>
      </c>
      <c r="B405" s="14"/>
      <c r="C405" s="21" t="s">
        <v>277</v>
      </c>
      <c r="D405" s="18"/>
      <c r="E405" s="18">
        <v>28000</v>
      </c>
      <c r="F405" s="18"/>
    </row>
    <row r="406" spans="1:6" ht="15.75" x14ac:dyDescent="0.25">
      <c r="A406" s="14">
        <v>53</v>
      </c>
      <c r="B406" s="14"/>
      <c r="C406" s="21" t="s">
        <v>278</v>
      </c>
      <c r="D406" s="18"/>
      <c r="E406" s="18">
        <v>44000</v>
      </c>
      <c r="F406" s="18"/>
    </row>
    <row r="407" spans="1:6" ht="15.75" x14ac:dyDescent="0.25">
      <c r="A407" s="14">
        <v>55</v>
      </c>
      <c r="B407" s="14"/>
      <c r="C407" s="21" t="s">
        <v>280</v>
      </c>
      <c r="D407" s="18"/>
      <c r="E407" s="18">
        <v>17000</v>
      </c>
      <c r="F407" s="18"/>
    </row>
    <row r="408" spans="1:6" ht="15.75" x14ac:dyDescent="0.25">
      <c r="A408" s="14">
        <v>56</v>
      </c>
      <c r="B408" s="16">
        <v>45820</v>
      </c>
      <c r="C408" s="21" t="s">
        <v>281</v>
      </c>
      <c r="D408" s="18"/>
      <c r="E408" s="18">
        <v>360000</v>
      </c>
      <c r="F408" s="18"/>
    </row>
    <row r="409" spans="1:6" ht="15.75" x14ac:dyDescent="0.25">
      <c r="A409" s="14">
        <v>58</v>
      </c>
      <c r="B409" s="14"/>
      <c r="C409" s="21" t="s">
        <v>283</v>
      </c>
      <c r="D409" s="18"/>
      <c r="E409" s="18">
        <v>70000</v>
      </c>
      <c r="F409" s="18"/>
    </row>
    <row r="410" spans="1:6" ht="15.75" x14ac:dyDescent="0.25">
      <c r="A410" s="14">
        <v>59</v>
      </c>
      <c r="B410" s="14"/>
      <c r="C410" s="21" t="s">
        <v>284</v>
      </c>
      <c r="D410" s="18"/>
      <c r="E410" s="18">
        <v>100000</v>
      </c>
      <c r="F410" s="18"/>
    </row>
    <row r="411" spans="1:6" ht="15.75" x14ac:dyDescent="0.25">
      <c r="A411" s="22">
        <v>60</v>
      </c>
      <c r="B411" s="22"/>
      <c r="C411" s="24" t="s">
        <v>144</v>
      </c>
      <c r="D411" s="25"/>
      <c r="E411" s="25">
        <v>150000</v>
      </c>
      <c r="F411" s="25"/>
    </row>
    <row r="412" spans="1:6" ht="15.75" x14ac:dyDescent="0.25">
      <c r="A412" s="22">
        <v>61</v>
      </c>
      <c r="B412" s="95"/>
      <c r="C412" s="24" t="s">
        <v>285</v>
      </c>
      <c r="D412" s="56"/>
      <c r="E412" s="25">
        <v>1472000</v>
      </c>
      <c r="F412" s="28"/>
    </row>
    <row r="413" spans="1:6" ht="15.75" x14ac:dyDescent="0.25">
      <c r="A413" s="29"/>
      <c r="B413" s="96"/>
      <c r="C413" s="52" t="s">
        <v>286</v>
      </c>
      <c r="D413" s="57"/>
      <c r="E413" s="32"/>
      <c r="F413" s="33"/>
    </row>
    <row r="414" spans="1:6" ht="15.75" x14ac:dyDescent="0.25">
      <c r="A414" s="29">
        <v>66</v>
      </c>
      <c r="B414" s="14"/>
      <c r="C414" s="21" t="s">
        <v>290</v>
      </c>
      <c r="D414" s="18"/>
      <c r="E414" s="18">
        <v>150000</v>
      </c>
      <c r="F414" s="18"/>
    </row>
    <row r="415" spans="1:6" ht="15.75" x14ac:dyDescent="0.25">
      <c r="A415" s="14">
        <v>67</v>
      </c>
      <c r="B415" s="16">
        <v>46197</v>
      </c>
      <c r="C415" s="21" t="s">
        <v>291</v>
      </c>
      <c r="D415" s="18"/>
      <c r="E415" s="18">
        <v>980000</v>
      </c>
      <c r="F415" s="18"/>
    </row>
    <row r="416" spans="1:6" ht="15.75" x14ac:dyDescent="0.25">
      <c r="A416" s="29">
        <v>68</v>
      </c>
      <c r="B416" s="14"/>
      <c r="C416" s="21" t="s">
        <v>292</v>
      </c>
      <c r="D416" s="18"/>
      <c r="E416" s="18">
        <v>320000</v>
      </c>
      <c r="F416" s="18"/>
    </row>
    <row r="417" spans="1:6" ht="15.75" x14ac:dyDescent="0.25">
      <c r="A417" s="14">
        <v>69</v>
      </c>
      <c r="B417" s="14"/>
      <c r="C417" s="21" t="s">
        <v>293</v>
      </c>
      <c r="D417" s="18"/>
      <c r="E417" s="18">
        <v>330000</v>
      </c>
      <c r="F417" s="18"/>
    </row>
    <row r="418" spans="1:6" ht="15.75" x14ac:dyDescent="0.25">
      <c r="A418" s="29">
        <v>70</v>
      </c>
      <c r="B418" s="14"/>
      <c r="C418" s="21" t="s">
        <v>294</v>
      </c>
      <c r="D418" s="18"/>
      <c r="E418" s="18">
        <v>270000</v>
      </c>
      <c r="F418" s="18"/>
    </row>
    <row r="419" spans="1:6" ht="15.75" x14ac:dyDescent="0.25">
      <c r="A419" s="29">
        <v>74</v>
      </c>
      <c r="B419" s="16">
        <v>45837</v>
      </c>
      <c r="C419" s="21" t="s">
        <v>297</v>
      </c>
      <c r="D419" s="18"/>
      <c r="E419" s="18">
        <v>152000</v>
      </c>
      <c r="F419" s="18"/>
    </row>
    <row r="420" spans="1:6" ht="15.75" x14ac:dyDescent="0.25">
      <c r="A420" s="14">
        <v>75</v>
      </c>
      <c r="B420" s="16"/>
      <c r="C420" s="21" t="s">
        <v>298</v>
      </c>
      <c r="D420" s="18"/>
      <c r="E420" s="18">
        <v>12000</v>
      </c>
      <c r="F420" s="18"/>
    </row>
    <row r="421" spans="1:6" ht="15.75" x14ac:dyDescent="0.25">
      <c r="A421" s="29">
        <v>76</v>
      </c>
      <c r="B421" s="16"/>
      <c r="C421" s="21" t="s">
        <v>299</v>
      </c>
      <c r="D421" s="18"/>
      <c r="E421" s="18">
        <v>115000</v>
      </c>
      <c r="F421" s="18"/>
    </row>
    <row r="422" spans="1:6" ht="15.75" x14ac:dyDescent="0.25">
      <c r="A422" s="14">
        <v>77</v>
      </c>
      <c r="B422" s="16"/>
      <c r="C422" s="21" t="s">
        <v>300</v>
      </c>
      <c r="D422" s="18"/>
      <c r="E422" s="18">
        <v>50000</v>
      </c>
      <c r="F422" s="18"/>
    </row>
    <row r="423" spans="1:6" ht="15.75" x14ac:dyDescent="0.25">
      <c r="A423" s="29">
        <v>78</v>
      </c>
      <c r="B423" s="16">
        <v>45838</v>
      </c>
      <c r="C423" s="21" t="s">
        <v>301</v>
      </c>
      <c r="D423" s="18"/>
      <c r="E423" s="18">
        <v>22000</v>
      </c>
      <c r="F423" s="18"/>
    </row>
    <row r="424" spans="1:6" ht="15.75" x14ac:dyDescent="0.25">
      <c r="A424" s="14">
        <v>79</v>
      </c>
      <c r="B424" s="14"/>
      <c r="C424" s="21" t="s">
        <v>302</v>
      </c>
      <c r="D424" s="18"/>
      <c r="E424" s="18">
        <v>384000</v>
      </c>
      <c r="F424" s="18"/>
    </row>
    <row r="425" spans="1:6" ht="15.75" x14ac:dyDescent="0.25">
      <c r="A425" s="29">
        <v>80</v>
      </c>
      <c r="B425" s="14"/>
      <c r="C425" s="21" t="s">
        <v>303</v>
      </c>
      <c r="D425" s="18"/>
      <c r="E425" s="18">
        <v>160000</v>
      </c>
      <c r="F425" s="18"/>
    </row>
    <row r="426" spans="1:6" ht="15.75" x14ac:dyDescent="0.25">
      <c r="A426" s="14">
        <v>81</v>
      </c>
      <c r="B426" s="14"/>
      <c r="C426" s="21" t="s">
        <v>304</v>
      </c>
      <c r="D426" s="18"/>
      <c r="E426" s="18">
        <v>390000</v>
      </c>
      <c r="F426" s="18"/>
    </row>
    <row r="427" spans="1:6" ht="15.75" x14ac:dyDescent="0.25">
      <c r="A427" s="29">
        <v>82</v>
      </c>
      <c r="B427" s="14"/>
      <c r="C427" s="21" t="s">
        <v>305</v>
      </c>
      <c r="D427" s="18"/>
      <c r="E427" s="18">
        <v>320000</v>
      </c>
      <c r="F427" s="18"/>
    </row>
    <row r="428" spans="1:6" ht="15.75" x14ac:dyDescent="0.25">
      <c r="A428" s="14">
        <v>83</v>
      </c>
      <c r="B428" s="14"/>
      <c r="C428" s="21" t="s">
        <v>306</v>
      </c>
      <c r="D428" s="18"/>
      <c r="E428" s="18">
        <v>290000</v>
      </c>
      <c r="F428" s="18"/>
    </row>
    <row r="429" spans="1:6" ht="15.75" x14ac:dyDescent="0.25">
      <c r="A429" s="29">
        <v>62</v>
      </c>
      <c r="B429" s="29"/>
      <c r="C429" s="52" t="s">
        <v>287</v>
      </c>
      <c r="D429" s="32"/>
      <c r="E429" s="160">
        <v>16000</v>
      </c>
      <c r="F429" s="32"/>
    </row>
    <row r="430" spans="1:6" ht="15.75" x14ac:dyDescent="0.25">
      <c r="A430" s="29">
        <v>64</v>
      </c>
      <c r="B430" s="14"/>
      <c r="C430" s="21" t="s">
        <v>289</v>
      </c>
      <c r="D430" s="18"/>
      <c r="E430" s="116">
        <v>35000</v>
      </c>
      <c r="F430" s="18"/>
    </row>
    <row r="431" spans="1:6" ht="15.75" x14ac:dyDescent="0.25">
      <c r="A431" s="14">
        <v>65</v>
      </c>
      <c r="B431" s="16">
        <v>46196</v>
      </c>
      <c r="C431" s="21" t="s">
        <v>271</v>
      </c>
      <c r="D431" s="18"/>
      <c r="E431" s="116">
        <v>79000</v>
      </c>
      <c r="F431" s="18"/>
    </row>
    <row r="432" spans="1:6" ht="15.75" x14ac:dyDescent="0.25">
      <c r="A432" s="14">
        <v>71</v>
      </c>
      <c r="B432" s="16">
        <v>45834</v>
      </c>
      <c r="C432" s="21" t="s">
        <v>295</v>
      </c>
      <c r="D432" s="18"/>
      <c r="E432" s="116">
        <v>36000</v>
      </c>
      <c r="F432" s="18"/>
    </row>
    <row r="433" spans="1:6" ht="15.75" x14ac:dyDescent="0.25">
      <c r="A433" s="29">
        <v>72</v>
      </c>
      <c r="B433" s="16">
        <v>45834</v>
      </c>
      <c r="C433" s="21" t="s">
        <v>296</v>
      </c>
      <c r="D433" s="18"/>
      <c r="E433" s="116">
        <v>60000</v>
      </c>
      <c r="F433" s="18"/>
    </row>
    <row r="434" spans="1:6" ht="15.75" x14ac:dyDescent="0.25">
      <c r="A434" s="14">
        <v>73</v>
      </c>
      <c r="B434" s="16">
        <v>45835</v>
      </c>
      <c r="C434" s="21" t="s">
        <v>296</v>
      </c>
      <c r="D434" s="18"/>
      <c r="E434" s="116">
        <v>65000</v>
      </c>
      <c r="F434" s="18"/>
    </row>
    <row r="435" spans="1:6" ht="15.75" x14ac:dyDescent="0.25">
      <c r="A435" s="14">
        <v>37</v>
      </c>
      <c r="B435" s="14"/>
      <c r="C435" s="21" t="s">
        <v>55</v>
      </c>
      <c r="D435" s="40"/>
      <c r="E435" s="116">
        <v>667500</v>
      </c>
      <c r="F435" s="18"/>
    </row>
    <row r="436" spans="1:6" ht="15.75" x14ac:dyDescent="0.25">
      <c r="A436" s="14">
        <v>38</v>
      </c>
      <c r="B436" s="14"/>
      <c r="C436" s="21" t="s">
        <v>56</v>
      </c>
      <c r="D436" s="40"/>
      <c r="E436" s="116">
        <v>1280000</v>
      </c>
      <c r="F436" s="18"/>
    </row>
    <row r="437" spans="1:6" ht="15.75" x14ac:dyDescent="0.25">
      <c r="A437" s="14">
        <v>39</v>
      </c>
      <c r="B437" s="14"/>
      <c r="C437" s="21" t="s">
        <v>266</v>
      </c>
      <c r="D437" s="18"/>
      <c r="E437" s="116">
        <v>40000</v>
      </c>
      <c r="F437" s="18"/>
    </row>
    <row r="438" spans="1:6" ht="15.75" x14ac:dyDescent="0.25">
      <c r="A438" s="29">
        <v>84</v>
      </c>
      <c r="B438" s="14"/>
      <c r="C438" s="21" t="s">
        <v>307</v>
      </c>
      <c r="D438" s="18"/>
      <c r="E438" s="18">
        <v>205000</v>
      </c>
      <c r="F438" s="18"/>
    </row>
    <row r="439" spans="1:6" ht="15.75" x14ac:dyDescent="0.25">
      <c r="A439" s="14">
        <v>40</v>
      </c>
      <c r="B439" s="14"/>
      <c r="C439" s="21" t="s">
        <v>267</v>
      </c>
      <c r="D439" s="18"/>
      <c r="E439" s="116">
        <v>502500</v>
      </c>
      <c r="F439" s="18"/>
    </row>
    <row r="440" spans="1:6" ht="15.75" x14ac:dyDescent="0.25">
      <c r="A440" s="14">
        <v>57</v>
      </c>
      <c r="B440" s="14"/>
      <c r="C440" s="21" t="s">
        <v>282</v>
      </c>
      <c r="D440" s="18"/>
      <c r="E440" s="18">
        <v>5363000</v>
      </c>
      <c r="F440" s="18"/>
    </row>
    <row r="441" spans="1:6" ht="15.75" x14ac:dyDescent="0.25">
      <c r="A441" s="14">
        <v>41</v>
      </c>
      <c r="B441" s="14"/>
      <c r="C441" s="21" t="s">
        <v>268</v>
      </c>
      <c r="D441" s="18"/>
      <c r="E441" s="18">
        <v>12000000</v>
      </c>
      <c r="F441" s="18"/>
    </row>
    <row r="442" spans="1:6" ht="15.75" x14ac:dyDescent="0.25">
      <c r="A442" s="14">
        <v>42</v>
      </c>
      <c r="B442" s="16">
        <v>45810</v>
      </c>
      <c r="C442" s="21" t="s">
        <v>269</v>
      </c>
      <c r="D442" s="18"/>
      <c r="E442" s="18">
        <v>10000000</v>
      </c>
      <c r="F442" s="18"/>
    </row>
    <row r="443" spans="1:6" ht="15.75" x14ac:dyDescent="0.25">
      <c r="A443" s="14">
        <v>47</v>
      </c>
      <c r="B443" s="16">
        <v>45811</v>
      </c>
      <c r="C443" s="21" t="s">
        <v>274</v>
      </c>
      <c r="D443" s="18"/>
      <c r="E443" s="116">
        <v>15000000</v>
      </c>
      <c r="F443" s="18"/>
    </row>
    <row r="444" spans="1:6" ht="15.75" x14ac:dyDescent="0.25">
      <c r="A444" s="14">
        <v>54</v>
      </c>
      <c r="B444" s="14"/>
      <c r="C444" s="21" t="s">
        <v>279</v>
      </c>
      <c r="D444" s="18"/>
      <c r="E444" s="116">
        <v>5000000</v>
      </c>
      <c r="F444" s="18"/>
    </row>
    <row r="445" spans="1:6" ht="15.75" x14ac:dyDescent="0.25">
      <c r="A445" s="14">
        <v>63</v>
      </c>
      <c r="B445" s="14"/>
      <c r="C445" s="21" t="s">
        <v>288</v>
      </c>
      <c r="D445" s="18"/>
      <c r="E445" s="116">
        <v>20000000</v>
      </c>
      <c r="F445" s="18"/>
    </row>
    <row r="446" spans="1:6" ht="15.75" x14ac:dyDescent="0.25">
      <c r="A446" s="14"/>
      <c r="B446" s="14"/>
      <c r="C446" s="21"/>
      <c r="D446" s="18"/>
      <c r="E446" s="18"/>
      <c r="F446" s="18"/>
    </row>
    <row r="447" spans="1:6" x14ac:dyDescent="0.25">
      <c r="A447" s="42"/>
      <c r="B447" s="42"/>
      <c r="C447" s="35" t="s">
        <v>71</v>
      </c>
      <c r="D447" s="36">
        <f>SUM(D360:D446)</f>
        <v>32435000</v>
      </c>
      <c r="E447" s="36">
        <f>SUM(E360:E446)</f>
        <v>82020100</v>
      </c>
      <c r="F447" s="36">
        <f>D447-E447</f>
        <v>-49585100</v>
      </c>
    </row>
    <row r="448" spans="1:6" x14ac:dyDescent="0.25">
      <c r="A448" s="85"/>
      <c r="B448" s="85"/>
      <c r="D448" s="38"/>
      <c r="E448" s="38"/>
      <c r="F448" s="38"/>
    </row>
    <row r="449" spans="1:6" x14ac:dyDescent="0.25">
      <c r="A449" s="85"/>
      <c r="B449" s="85"/>
      <c r="D449" s="137" t="s">
        <v>308</v>
      </c>
      <c r="E449" s="137"/>
      <c r="F449" s="137"/>
    </row>
    <row r="450" spans="1:6" x14ac:dyDescent="0.25">
      <c r="A450" s="133" t="s">
        <v>73</v>
      </c>
      <c r="B450" s="133"/>
      <c r="C450" s="133"/>
      <c r="D450" s="137" t="s">
        <v>74</v>
      </c>
      <c r="E450" s="137"/>
      <c r="F450" s="137"/>
    </row>
    <row r="451" spans="1:6" x14ac:dyDescent="0.25">
      <c r="A451" s="85"/>
      <c r="B451" s="85"/>
      <c r="D451" s="38"/>
      <c r="E451" s="38"/>
      <c r="F451" s="38"/>
    </row>
    <row r="452" spans="1:6" x14ac:dyDescent="0.25">
      <c r="A452" s="85"/>
      <c r="B452" s="85"/>
      <c r="D452" s="38"/>
      <c r="E452" s="38"/>
      <c r="F452" s="38"/>
    </row>
    <row r="453" spans="1:6" x14ac:dyDescent="0.25">
      <c r="A453" s="133" t="s">
        <v>75</v>
      </c>
      <c r="B453" s="133"/>
      <c r="C453" s="133"/>
      <c r="D453" s="137" t="s">
        <v>76</v>
      </c>
      <c r="E453" s="137"/>
      <c r="F453" s="137"/>
    </row>
    <row r="454" spans="1:6" x14ac:dyDescent="0.25">
      <c r="A454" s="85"/>
      <c r="B454" s="85"/>
      <c r="D454" s="38"/>
      <c r="E454" s="38"/>
      <c r="F454" s="38"/>
    </row>
    <row r="455" spans="1:6" x14ac:dyDescent="0.25">
      <c r="A455" s="85"/>
      <c r="B455" s="85"/>
      <c r="D455" s="38"/>
      <c r="E455" s="38"/>
      <c r="F455" s="38"/>
    </row>
    <row r="456" spans="1:6" ht="15.75" x14ac:dyDescent="0.25">
      <c r="A456" s="138" t="s">
        <v>19</v>
      </c>
      <c r="B456" s="139"/>
      <c r="C456" s="139"/>
      <c r="D456" s="139"/>
      <c r="E456" s="139"/>
      <c r="F456" s="140"/>
    </row>
    <row r="457" spans="1:6" ht="15.75" x14ac:dyDescent="0.25">
      <c r="A457" s="141" t="s">
        <v>309</v>
      </c>
      <c r="B457" s="142"/>
      <c r="C457" s="142"/>
      <c r="D457" s="142"/>
      <c r="E457" s="142"/>
      <c r="F457" s="143"/>
    </row>
    <row r="458" spans="1:6" x14ac:dyDescent="0.25">
      <c r="A458" s="14" t="s">
        <v>1</v>
      </c>
      <c r="B458" s="14" t="s">
        <v>21</v>
      </c>
      <c r="C458" s="14" t="s">
        <v>22</v>
      </c>
      <c r="D458" s="15" t="s">
        <v>23</v>
      </c>
      <c r="E458" s="15" t="s">
        <v>24</v>
      </c>
      <c r="F458" s="15" t="s">
        <v>5</v>
      </c>
    </row>
    <row r="459" spans="1:6" x14ac:dyDescent="0.25">
      <c r="A459" s="14">
        <v>1</v>
      </c>
      <c r="B459" s="16">
        <v>45839</v>
      </c>
      <c r="C459" s="17" t="s">
        <v>32</v>
      </c>
      <c r="D459" s="40">
        <v>1125000</v>
      </c>
      <c r="E459" s="18"/>
      <c r="F459" s="18"/>
    </row>
    <row r="460" spans="1:6" x14ac:dyDescent="0.25">
      <c r="A460" s="14">
        <v>2</v>
      </c>
      <c r="B460" s="16">
        <v>45839</v>
      </c>
      <c r="C460" s="61" t="s">
        <v>31</v>
      </c>
      <c r="D460" s="15">
        <v>890000</v>
      </c>
      <c r="E460" s="18"/>
      <c r="F460" s="18"/>
    </row>
    <row r="461" spans="1:6" x14ac:dyDescent="0.25">
      <c r="A461" s="14">
        <v>3</v>
      </c>
      <c r="B461" s="16">
        <v>45839</v>
      </c>
      <c r="C461" s="17" t="s">
        <v>27</v>
      </c>
      <c r="D461" s="40">
        <v>2250000</v>
      </c>
      <c r="E461" s="18"/>
      <c r="F461" s="18"/>
    </row>
    <row r="462" spans="1:6" x14ac:dyDescent="0.25">
      <c r="A462" s="14">
        <v>4</v>
      </c>
      <c r="B462" s="16">
        <v>45839</v>
      </c>
      <c r="C462" s="17" t="s">
        <v>34</v>
      </c>
      <c r="D462" s="40">
        <v>1375000</v>
      </c>
      <c r="E462" s="18"/>
      <c r="F462" s="18"/>
    </row>
    <row r="463" spans="1:6" x14ac:dyDescent="0.25">
      <c r="A463" s="14">
        <v>5</v>
      </c>
      <c r="B463" s="16">
        <v>45839</v>
      </c>
      <c r="C463" s="17" t="s">
        <v>27</v>
      </c>
      <c r="D463" s="40">
        <v>140000</v>
      </c>
      <c r="E463" s="18"/>
      <c r="F463" s="18"/>
    </row>
    <row r="464" spans="1:6" x14ac:dyDescent="0.25">
      <c r="A464" s="14">
        <v>6</v>
      </c>
      <c r="B464" s="16">
        <v>45839</v>
      </c>
      <c r="C464" s="17" t="s">
        <v>310</v>
      </c>
      <c r="D464" s="40">
        <v>1725000</v>
      </c>
      <c r="E464" s="18"/>
      <c r="F464" s="18"/>
    </row>
    <row r="465" spans="1:6" x14ac:dyDescent="0.25">
      <c r="A465" s="14">
        <v>7</v>
      </c>
      <c r="B465" s="16">
        <v>45839</v>
      </c>
      <c r="C465" s="17" t="s">
        <v>311</v>
      </c>
      <c r="D465" s="40">
        <v>1475000</v>
      </c>
      <c r="E465" s="18"/>
      <c r="F465" s="18"/>
    </row>
    <row r="466" spans="1:6" x14ac:dyDescent="0.25">
      <c r="A466" s="14">
        <v>8</v>
      </c>
      <c r="B466" s="16">
        <v>45840</v>
      </c>
      <c r="C466" s="17" t="s">
        <v>28</v>
      </c>
      <c r="D466" s="40">
        <v>1265000</v>
      </c>
      <c r="E466" s="18"/>
      <c r="F466" s="18"/>
    </row>
    <row r="467" spans="1:6" x14ac:dyDescent="0.25">
      <c r="A467" s="14">
        <v>9</v>
      </c>
      <c r="B467" s="16">
        <v>45840</v>
      </c>
      <c r="C467" s="17" t="s">
        <v>45</v>
      </c>
      <c r="D467" s="40">
        <v>1245000</v>
      </c>
      <c r="E467" s="18"/>
      <c r="F467" s="18"/>
    </row>
    <row r="468" spans="1:6" x14ac:dyDescent="0.25">
      <c r="A468" s="14">
        <v>10</v>
      </c>
      <c r="B468" s="16">
        <v>45842</v>
      </c>
      <c r="C468" s="17" t="s">
        <v>99</v>
      </c>
      <c r="D468" s="40">
        <v>775000</v>
      </c>
      <c r="E468" s="18"/>
      <c r="F468" s="18"/>
    </row>
    <row r="469" spans="1:6" x14ac:dyDescent="0.25">
      <c r="A469" s="14">
        <v>11</v>
      </c>
      <c r="B469" s="16">
        <v>45842</v>
      </c>
      <c r="C469" s="17" t="s">
        <v>33</v>
      </c>
      <c r="D469" s="40">
        <v>625000</v>
      </c>
      <c r="E469" s="18"/>
      <c r="F469" s="18"/>
    </row>
    <row r="470" spans="1:6" x14ac:dyDescent="0.25">
      <c r="A470" s="14">
        <v>12</v>
      </c>
      <c r="B470" s="16">
        <v>45843</v>
      </c>
      <c r="C470" s="17" t="s">
        <v>26</v>
      </c>
      <c r="D470" s="40">
        <v>750000</v>
      </c>
      <c r="E470" s="18"/>
      <c r="F470" s="18"/>
    </row>
    <row r="471" spans="1:6" x14ac:dyDescent="0.25">
      <c r="A471" s="14">
        <v>13</v>
      </c>
      <c r="B471" s="16">
        <v>45844</v>
      </c>
      <c r="C471" s="17" t="s">
        <v>312</v>
      </c>
      <c r="D471" s="40">
        <v>850000</v>
      </c>
      <c r="E471" s="18"/>
      <c r="F471" s="18"/>
    </row>
    <row r="472" spans="1:6" x14ac:dyDescent="0.25">
      <c r="A472" s="14">
        <v>14</v>
      </c>
      <c r="B472" s="16">
        <v>45847</v>
      </c>
      <c r="C472" s="17" t="s">
        <v>313</v>
      </c>
      <c r="D472" s="40">
        <v>925000</v>
      </c>
      <c r="E472" s="18"/>
      <c r="F472" s="18"/>
    </row>
    <row r="473" spans="1:6" x14ac:dyDescent="0.25">
      <c r="A473" s="14">
        <v>15</v>
      </c>
      <c r="B473" s="16">
        <v>45847</v>
      </c>
      <c r="C473" s="17" t="s">
        <v>90</v>
      </c>
      <c r="D473" s="40">
        <v>1125000</v>
      </c>
      <c r="E473" s="18"/>
      <c r="F473" s="18"/>
    </row>
    <row r="474" spans="1:6" x14ac:dyDescent="0.25">
      <c r="A474" s="14">
        <v>16</v>
      </c>
      <c r="B474" s="16">
        <v>45847</v>
      </c>
      <c r="C474" s="17" t="s">
        <v>90</v>
      </c>
      <c r="D474" s="40">
        <v>170000</v>
      </c>
      <c r="E474" s="18"/>
      <c r="F474" s="18"/>
    </row>
    <row r="475" spans="1:6" x14ac:dyDescent="0.25">
      <c r="A475" s="14">
        <v>17</v>
      </c>
      <c r="B475" s="16">
        <v>45848</v>
      </c>
      <c r="C475" s="19" t="s">
        <v>261</v>
      </c>
      <c r="D475" s="40">
        <v>1265000</v>
      </c>
      <c r="E475" s="18"/>
      <c r="F475" s="18"/>
    </row>
    <row r="476" spans="1:6" x14ac:dyDescent="0.25">
      <c r="A476" s="14">
        <v>18</v>
      </c>
      <c r="B476" s="16">
        <v>45849</v>
      </c>
      <c r="C476" s="17" t="s">
        <v>29</v>
      </c>
      <c r="D476" s="40">
        <v>750000</v>
      </c>
      <c r="E476" s="18"/>
      <c r="F476" s="18"/>
    </row>
    <row r="477" spans="1:6" x14ac:dyDescent="0.25">
      <c r="A477" s="14">
        <v>19</v>
      </c>
      <c r="B477" s="16">
        <v>45849</v>
      </c>
      <c r="C477" s="17" t="s">
        <v>42</v>
      </c>
      <c r="D477" s="40">
        <v>1125000</v>
      </c>
      <c r="E477" s="18"/>
      <c r="F477" s="18"/>
    </row>
    <row r="478" spans="1:6" x14ac:dyDescent="0.25">
      <c r="A478" s="14">
        <v>20</v>
      </c>
      <c r="B478" s="16">
        <v>45850</v>
      </c>
      <c r="C478" s="17" t="s">
        <v>314</v>
      </c>
      <c r="D478" s="40">
        <v>1100000</v>
      </c>
      <c r="E478" s="18"/>
      <c r="F478" s="18"/>
    </row>
    <row r="479" spans="1:6" x14ac:dyDescent="0.25">
      <c r="A479" s="14">
        <v>21</v>
      </c>
      <c r="B479" s="16">
        <v>45851</v>
      </c>
      <c r="C479" s="17" t="s">
        <v>30</v>
      </c>
      <c r="D479" s="40">
        <v>695000</v>
      </c>
      <c r="E479" s="18"/>
      <c r="F479" s="18"/>
    </row>
    <row r="480" spans="1:6" x14ac:dyDescent="0.25">
      <c r="A480" s="14">
        <v>22</v>
      </c>
      <c r="B480" s="16">
        <v>45852</v>
      </c>
      <c r="C480" s="17" t="s">
        <v>315</v>
      </c>
      <c r="D480" s="40">
        <v>975000</v>
      </c>
      <c r="E480" s="18"/>
      <c r="F480" s="18"/>
    </row>
    <row r="481" spans="1:6" x14ac:dyDescent="0.25">
      <c r="A481" s="14">
        <v>23</v>
      </c>
      <c r="B481" s="16">
        <v>45852</v>
      </c>
      <c r="C481" s="17" t="s">
        <v>41</v>
      </c>
      <c r="D481" s="40">
        <v>750000</v>
      </c>
      <c r="E481" s="18"/>
      <c r="F481" s="18"/>
    </row>
    <row r="482" spans="1:6" x14ac:dyDescent="0.25">
      <c r="A482" s="14">
        <v>24</v>
      </c>
      <c r="B482" s="16">
        <v>45853</v>
      </c>
      <c r="C482" s="17" t="s">
        <v>316</v>
      </c>
      <c r="D482" s="40">
        <v>1475000</v>
      </c>
      <c r="E482" s="18"/>
      <c r="F482" s="18"/>
    </row>
    <row r="483" spans="1:6" x14ac:dyDescent="0.25">
      <c r="A483" s="14">
        <v>25</v>
      </c>
      <c r="B483" s="16">
        <v>45855</v>
      </c>
      <c r="C483" s="17" t="s">
        <v>317</v>
      </c>
      <c r="D483" s="40">
        <v>800000</v>
      </c>
      <c r="E483" s="18"/>
      <c r="F483" s="18"/>
    </row>
    <row r="484" spans="1:6" x14ac:dyDescent="0.25">
      <c r="A484" s="14">
        <v>26</v>
      </c>
      <c r="B484" s="16">
        <v>45859</v>
      </c>
      <c r="C484" s="17" t="s">
        <v>318</v>
      </c>
      <c r="D484" s="40">
        <v>350000</v>
      </c>
      <c r="E484" s="18"/>
      <c r="F484" s="18"/>
    </row>
    <row r="485" spans="1:6" x14ac:dyDescent="0.25">
      <c r="A485" s="14">
        <v>27</v>
      </c>
      <c r="B485" s="16">
        <v>45859</v>
      </c>
      <c r="C485" s="17" t="s">
        <v>78</v>
      </c>
      <c r="D485" s="40">
        <v>1125000</v>
      </c>
      <c r="E485" s="18"/>
      <c r="F485" s="18"/>
    </row>
    <row r="486" spans="1:6" x14ac:dyDescent="0.25">
      <c r="A486" s="14">
        <v>28</v>
      </c>
      <c r="B486" s="16">
        <v>45861</v>
      </c>
      <c r="C486" s="17" t="s">
        <v>35</v>
      </c>
      <c r="D486" s="40">
        <v>880000</v>
      </c>
      <c r="E486" s="18"/>
      <c r="F486" s="18"/>
    </row>
    <row r="487" spans="1:6" x14ac:dyDescent="0.25">
      <c r="A487" s="14">
        <v>29</v>
      </c>
      <c r="B487" s="16">
        <v>45861</v>
      </c>
      <c r="C487" s="17" t="s">
        <v>319</v>
      </c>
      <c r="D487" s="40">
        <v>1125000</v>
      </c>
      <c r="E487" s="18"/>
      <c r="F487" s="18"/>
    </row>
    <row r="488" spans="1:6" x14ac:dyDescent="0.25">
      <c r="A488" s="14">
        <v>30</v>
      </c>
      <c r="B488" s="16">
        <v>45862</v>
      </c>
      <c r="C488" s="17" t="s">
        <v>103</v>
      </c>
      <c r="D488" s="40">
        <v>75000</v>
      </c>
      <c r="E488" s="18"/>
      <c r="F488" s="18"/>
    </row>
    <row r="489" spans="1:6" x14ac:dyDescent="0.25">
      <c r="A489" s="14">
        <v>31</v>
      </c>
      <c r="B489" s="16">
        <v>45862</v>
      </c>
      <c r="C489" s="17" t="s">
        <v>320</v>
      </c>
      <c r="D489" s="40">
        <v>1725000</v>
      </c>
      <c r="E489" s="18"/>
      <c r="F489" s="18"/>
    </row>
    <row r="490" spans="1:6" x14ac:dyDescent="0.25">
      <c r="A490" s="14">
        <v>32</v>
      </c>
      <c r="B490" s="16">
        <v>45862</v>
      </c>
      <c r="C490" s="17" t="s">
        <v>321</v>
      </c>
      <c r="D490" s="40">
        <v>1475000</v>
      </c>
      <c r="E490" s="18"/>
      <c r="F490" s="18"/>
    </row>
    <row r="491" spans="1:6" x14ac:dyDescent="0.25">
      <c r="A491" s="14">
        <v>33</v>
      </c>
      <c r="B491" s="16">
        <v>45867</v>
      </c>
      <c r="C491" s="17" t="s">
        <v>46</v>
      </c>
      <c r="D491" s="40">
        <v>1135000</v>
      </c>
      <c r="E491" s="18"/>
      <c r="F491" s="18"/>
    </row>
    <row r="492" spans="1:6" x14ac:dyDescent="0.25">
      <c r="A492" s="14">
        <v>34</v>
      </c>
      <c r="B492" s="16">
        <v>45869</v>
      </c>
      <c r="C492" s="17" t="s">
        <v>318</v>
      </c>
      <c r="D492" s="40">
        <v>350000</v>
      </c>
      <c r="E492" s="18"/>
      <c r="F492" s="18"/>
    </row>
    <row r="493" spans="1:6" x14ac:dyDescent="0.25">
      <c r="A493" s="14">
        <v>35</v>
      </c>
      <c r="B493" s="16">
        <v>45869</v>
      </c>
      <c r="C493" s="17" t="s">
        <v>322</v>
      </c>
      <c r="D493" s="40">
        <v>1725000</v>
      </c>
      <c r="E493" s="18"/>
      <c r="F493" s="18"/>
    </row>
    <row r="494" spans="1:6" x14ac:dyDescent="0.25">
      <c r="A494" s="14"/>
      <c r="B494" s="16"/>
      <c r="C494" s="17"/>
      <c r="D494" s="40"/>
      <c r="E494" s="18"/>
      <c r="F494" s="18"/>
    </row>
    <row r="495" spans="1:6" x14ac:dyDescent="0.25">
      <c r="A495" s="14"/>
      <c r="B495" s="14"/>
      <c r="C495" s="20" t="s">
        <v>132</v>
      </c>
      <c r="D495" s="18"/>
      <c r="E495" s="18"/>
      <c r="F495" s="18"/>
    </row>
    <row r="496" spans="1:6" ht="15.75" x14ac:dyDescent="0.25">
      <c r="A496" s="14">
        <v>36</v>
      </c>
      <c r="B496" s="16">
        <v>45839</v>
      </c>
      <c r="C496" s="21" t="s">
        <v>50</v>
      </c>
      <c r="D496" s="18"/>
      <c r="E496" s="116">
        <v>1450000</v>
      </c>
      <c r="F496" s="18"/>
    </row>
    <row r="497" spans="1:6" ht="15.75" x14ac:dyDescent="0.25">
      <c r="A497" s="14">
        <v>37</v>
      </c>
      <c r="B497" s="14"/>
      <c r="C497" s="21" t="s">
        <v>51</v>
      </c>
      <c r="D497" s="18"/>
      <c r="E497" s="116">
        <v>1450000</v>
      </c>
      <c r="F497" s="18"/>
    </row>
    <row r="498" spans="1:6" ht="15.75" x14ac:dyDescent="0.25">
      <c r="A498" s="14">
        <v>38</v>
      </c>
      <c r="B498" s="14"/>
      <c r="C498" s="21" t="s">
        <v>53</v>
      </c>
      <c r="D498" s="18"/>
      <c r="E498" s="116">
        <v>1350000</v>
      </c>
      <c r="F498" s="18"/>
    </row>
    <row r="499" spans="1:6" ht="15.75" x14ac:dyDescent="0.25">
      <c r="A499" s="14">
        <v>39</v>
      </c>
      <c r="B499" s="14"/>
      <c r="C499" s="21" t="s">
        <v>323</v>
      </c>
      <c r="D499" s="18"/>
      <c r="E499" s="116">
        <v>325000</v>
      </c>
      <c r="F499" s="18"/>
    </row>
    <row r="500" spans="1:6" ht="15.75" x14ac:dyDescent="0.25">
      <c r="A500" s="14">
        <v>41</v>
      </c>
      <c r="B500" s="14"/>
      <c r="C500" s="21" t="s">
        <v>55</v>
      </c>
      <c r="D500" s="40"/>
      <c r="E500" s="161">
        <v>1057500</v>
      </c>
      <c r="F500" s="18"/>
    </row>
    <row r="501" spans="1:6" ht="15.75" x14ac:dyDescent="0.25">
      <c r="A501" s="14">
        <v>42</v>
      </c>
      <c r="B501" s="14"/>
      <c r="C501" s="21" t="s">
        <v>56</v>
      </c>
      <c r="D501" s="40"/>
      <c r="E501" s="161">
        <v>2340000</v>
      </c>
      <c r="F501" s="18"/>
    </row>
    <row r="502" spans="1:6" ht="15.75" x14ac:dyDescent="0.25">
      <c r="A502" s="14">
        <v>47</v>
      </c>
      <c r="B502" s="14"/>
      <c r="C502" s="21" t="s">
        <v>328</v>
      </c>
      <c r="D502" s="18"/>
      <c r="E502" s="161">
        <v>75000</v>
      </c>
      <c r="F502" s="18"/>
    </row>
    <row r="503" spans="1:6" x14ac:dyDescent="0.25">
      <c r="A503" s="14">
        <v>112</v>
      </c>
      <c r="B503" s="16">
        <v>45868</v>
      </c>
      <c r="C503" s="19" t="s">
        <v>85</v>
      </c>
      <c r="D503" s="18"/>
      <c r="E503" s="161">
        <v>22000</v>
      </c>
      <c r="F503" s="18"/>
    </row>
    <row r="504" spans="1:6" ht="15.75" x14ac:dyDescent="0.25">
      <c r="A504" s="14">
        <v>40</v>
      </c>
      <c r="B504" s="14"/>
      <c r="C504" s="21" t="s">
        <v>133</v>
      </c>
      <c r="D504" s="40"/>
      <c r="E504" s="40">
        <v>100000</v>
      </c>
      <c r="F504" s="18"/>
    </row>
    <row r="505" spans="1:6" ht="15.75" x14ac:dyDescent="0.25">
      <c r="A505" s="14">
        <v>43</v>
      </c>
      <c r="B505" s="16">
        <v>45839</v>
      </c>
      <c r="C505" s="21" t="s">
        <v>324</v>
      </c>
      <c r="D505" s="18"/>
      <c r="E505" s="18">
        <v>75000</v>
      </c>
      <c r="F505" s="18"/>
    </row>
    <row r="506" spans="1:6" ht="15.75" x14ac:dyDescent="0.25">
      <c r="A506" s="14">
        <v>46</v>
      </c>
      <c r="B506" s="14"/>
      <c r="C506" s="21" t="s">
        <v>327</v>
      </c>
      <c r="D506" s="18"/>
      <c r="E506" s="18">
        <v>180000</v>
      </c>
      <c r="F506" s="18"/>
    </row>
    <row r="507" spans="1:6" ht="15.75" x14ac:dyDescent="0.25">
      <c r="A507" s="14">
        <v>48</v>
      </c>
      <c r="B507" s="14"/>
      <c r="C507" s="21" t="s">
        <v>61</v>
      </c>
      <c r="D507" s="18"/>
      <c r="E507" s="18">
        <v>74500</v>
      </c>
      <c r="F507" s="18"/>
    </row>
    <row r="508" spans="1:6" ht="15.75" x14ac:dyDescent="0.25">
      <c r="A508" s="14">
        <v>49</v>
      </c>
      <c r="B508" s="16">
        <v>45846</v>
      </c>
      <c r="C508" s="21" t="s">
        <v>329</v>
      </c>
      <c r="D508" s="18"/>
      <c r="E508" s="18">
        <v>65000</v>
      </c>
      <c r="F508" s="18"/>
    </row>
    <row r="509" spans="1:6" ht="15.75" x14ac:dyDescent="0.25">
      <c r="A509" s="22">
        <v>50</v>
      </c>
      <c r="B509" s="22"/>
      <c r="C509" s="24" t="s">
        <v>330</v>
      </c>
      <c r="D509" s="25"/>
      <c r="E509" s="25">
        <v>50000</v>
      </c>
      <c r="F509" s="25"/>
    </row>
    <row r="510" spans="1:6" ht="15.75" x14ac:dyDescent="0.25">
      <c r="A510" s="144">
        <v>51</v>
      </c>
      <c r="B510" s="47"/>
      <c r="C510" s="24" t="s">
        <v>331</v>
      </c>
      <c r="D510" s="25"/>
      <c r="E510" s="146">
        <v>480000</v>
      </c>
      <c r="F510" s="28"/>
    </row>
    <row r="511" spans="1:6" ht="15.75" x14ac:dyDescent="0.25">
      <c r="A511" s="145"/>
      <c r="B511" s="50"/>
      <c r="C511" s="52" t="s">
        <v>332</v>
      </c>
      <c r="D511" s="32"/>
      <c r="E511" s="147"/>
      <c r="F511" s="33"/>
    </row>
    <row r="512" spans="1:6" ht="15.75" x14ac:dyDescent="0.25">
      <c r="A512" s="14">
        <v>54</v>
      </c>
      <c r="B512" s="14"/>
      <c r="C512" s="21" t="s">
        <v>335</v>
      </c>
      <c r="D512" s="18"/>
      <c r="E512" s="18">
        <v>60000</v>
      </c>
      <c r="F512" s="18"/>
    </row>
    <row r="513" spans="1:6" ht="15.75" x14ac:dyDescent="0.25">
      <c r="A513" s="14">
        <v>55</v>
      </c>
      <c r="B513" s="14"/>
      <c r="C513" s="21" t="s">
        <v>336</v>
      </c>
      <c r="D513" s="18"/>
      <c r="E513" s="18">
        <v>60000</v>
      </c>
      <c r="F513" s="18"/>
    </row>
    <row r="514" spans="1:6" ht="15.75" x14ac:dyDescent="0.25">
      <c r="A514" s="14">
        <v>57</v>
      </c>
      <c r="B514" s="14"/>
      <c r="C514" s="21" t="s">
        <v>337</v>
      </c>
      <c r="D514" s="18"/>
      <c r="E514" s="18">
        <v>5000</v>
      </c>
      <c r="F514" s="18"/>
    </row>
    <row r="515" spans="1:6" ht="15.75" x14ac:dyDescent="0.25">
      <c r="A515" s="14">
        <v>58</v>
      </c>
      <c r="B515" s="14"/>
      <c r="C515" s="21" t="s">
        <v>338</v>
      </c>
      <c r="D515" s="18"/>
      <c r="E515" s="18">
        <v>312000</v>
      </c>
      <c r="F515" s="18"/>
    </row>
    <row r="516" spans="1:6" ht="15.75" x14ac:dyDescent="0.25">
      <c r="A516" s="14">
        <v>59</v>
      </c>
      <c r="B516" s="16">
        <v>45849</v>
      </c>
      <c r="C516" s="21" t="s">
        <v>339</v>
      </c>
      <c r="D516" s="18"/>
      <c r="E516" s="18">
        <v>512000</v>
      </c>
      <c r="F516" s="18"/>
    </row>
    <row r="517" spans="1:6" x14ac:dyDescent="0.25">
      <c r="A517" s="14">
        <v>60</v>
      </c>
      <c r="B517" s="16"/>
      <c r="C517" s="17" t="s">
        <v>340</v>
      </c>
      <c r="D517" s="40"/>
      <c r="E517" s="40">
        <v>850000</v>
      </c>
      <c r="F517" s="18"/>
    </row>
    <row r="518" spans="1:6" x14ac:dyDescent="0.25">
      <c r="A518" s="14">
        <v>61</v>
      </c>
      <c r="B518" s="16"/>
      <c r="C518" s="19" t="s">
        <v>109</v>
      </c>
      <c r="D518" s="18"/>
      <c r="E518" s="18">
        <v>150000</v>
      </c>
      <c r="F518" s="18"/>
    </row>
    <row r="519" spans="1:6" x14ac:dyDescent="0.25">
      <c r="A519" s="14">
        <v>61</v>
      </c>
      <c r="B519" s="16">
        <v>45850</v>
      </c>
      <c r="C519" s="19" t="s">
        <v>341</v>
      </c>
      <c r="D519" s="18"/>
      <c r="E519" s="18">
        <v>53000</v>
      </c>
      <c r="F519" s="18"/>
    </row>
    <row r="520" spans="1:6" x14ac:dyDescent="0.25">
      <c r="A520" s="14">
        <v>62</v>
      </c>
      <c r="B520" s="16">
        <v>45850</v>
      </c>
      <c r="C520" s="19" t="s">
        <v>342</v>
      </c>
      <c r="D520" s="18"/>
      <c r="E520" s="18">
        <v>112000</v>
      </c>
      <c r="F520" s="18"/>
    </row>
    <row r="521" spans="1:6" x14ac:dyDescent="0.25">
      <c r="A521" s="14">
        <v>80</v>
      </c>
      <c r="B521" s="16">
        <v>45852</v>
      </c>
      <c r="C521" s="19" t="s">
        <v>361</v>
      </c>
      <c r="D521" s="18"/>
      <c r="E521" s="18">
        <v>30000</v>
      </c>
      <c r="F521" s="18"/>
    </row>
    <row r="522" spans="1:6" x14ac:dyDescent="0.25">
      <c r="A522" s="14">
        <v>81</v>
      </c>
      <c r="B522" s="14"/>
      <c r="C522" s="19" t="s">
        <v>362</v>
      </c>
      <c r="D522" s="18"/>
      <c r="E522" s="18">
        <v>25000</v>
      </c>
      <c r="F522" s="18"/>
    </row>
    <row r="523" spans="1:6" x14ac:dyDescent="0.25">
      <c r="A523" s="14">
        <v>82</v>
      </c>
      <c r="B523" s="14"/>
      <c r="C523" s="19" t="s">
        <v>363</v>
      </c>
      <c r="D523" s="18"/>
      <c r="E523" s="18">
        <v>50000</v>
      </c>
      <c r="F523" s="18"/>
    </row>
    <row r="524" spans="1:6" x14ac:dyDescent="0.25">
      <c r="A524" s="14">
        <v>83</v>
      </c>
      <c r="B524" s="14"/>
      <c r="C524" s="19" t="s">
        <v>364</v>
      </c>
      <c r="D524" s="18"/>
      <c r="E524" s="18">
        <v>75000</v>
      </c>
      <c r="F524" s="18"/>
    </row>
    <row r="525" spans="1:6" x14ac:dyDescent="0.25">
      <c r="A525" s="14">
        <v>84</v>
      </c>
      <c r="B525" s="16">
        <v>45852</v>
      </c>
      <c r="C525" s="19" t="s">
        <v>365</v>
      </c>
      <c r="D525" s="18"/>
      <c r="E525" s="18">
        <v>1380000</v>
      </c>
      <c r="F525" s="18"/>
    </row>
    <row r="526" spans="1:6" x14ac:dyDescent="0.25">
      <c r="A526" s="14">
        <v>86</v>
      </c>
      <c r="B526" s="16">
        <v>45852</v>
      </c>
      <c r="C526" s="19" t="s">
        <v>367</v>
      </c>
      <c r="D526" s="18"/>
      <c r="E526" s="18">
        <v>203000</v>
      </c>
      <c r="F526" s="18"/>
    </row>
    <row r="527" spans="1:6" x14ac:dyDescent="0.25">
      <c r="A527" s="14">
        <v>87</v>
      </c>
      <c r="B527" s="14"/>
      <c r="C527" s="19" t="s">
        <v>368</v>
      </c>
      <c r="D527" s="18"/>
      <c r="E527" s="18">
        <v>210000</v>
      </c>
      <c r="F527" s="18"/>
    </row>
    <row r="528" spans="1:6" x14ac:dyDescent="0.25">
      <c r="A528" s="14">
        <v>88</v>
      </c>
      <c r="B528" s="14"/>
      <c r="C528" s="19" t="s">
        <v>369</v>
      </c>
      <c r="D528" s="18"/>
      <c r="E528" s="18">
        <v>208200</v>
      </c>
      <c r="F528" s="18"/>
    </row>
    <row r="529" spans="1:6" x14ac:dyDescent="0.25">
      <c r="A529" s="14">
        <v>89</v>
      </c>
      <c r="B529" s="14"/>
      <c r="C529" s="19" t="s">
        <v>172</v>
      </c>
      <c r="D529" s="18"/>
      <c r="E529" s="18">
        <v>60000</v>
      </c>
      <c r="F529" s="18"/>
    </row>
    <row r="530" spans="1:6" x14ac:dyDescent="0.25">
      <c r="A530" s="14">
        <v>91</v>
      </c>
      <c r="B530" s="14"/>
      <c r="C530" s="19" t="s">
        <v>371</v>
      </c>
      <c r="D530" s="18"/>
      <c r="E530" s="18">
        <v>22000</v>
      </c>
      <c r="F530" s="18"/>
    </row>
    <row r="531" spans="1:6" x14ac:dyDescent="0.25">
      <c r="A531" s="14">
        <v>92</v>
      </c>
      <c r="B531" s="14"/>
      <c r="C531" s="19" t="s">
        <v>372</v>
      </c>
      <c r="D531" s="18"/>
      <c r="E531" s="18">
        <v>53000</v>
      </c>
      <c r="F531" s="18"/>
    </row>
    <row r="532" spans="1:6" x14ac:dyDescent="0.25">
      <c r="A532" s="14">
        <v>93</v>
      </c>
      <c r="B532" s="14"/>
      <c r="C532" s="19" t="s">
        <v>373</v>
      </c>
      <c r="D532" s="18"/>
      <c r="E532" s="18">
        <v>136700</v>
      </c>
      <c r="F532" s="18"/>
    </row>
    <row r="533" spans="1:6" x14ac:dyDescent="0.25">
      <c r="A533" s="14">
        <v>94</v>
      </c>
      <c r="B533" s="14"/>
      <c r="C533" s="19" t="s">
        <v>374</v>
      </c>
      <c r="D533" s="18"/>
      <c r="E533" s="18">
        <v>40000</v>
      </c>
      <c r="F533" s="18"/>
    </row>
    <row r="534" spans="1:6" x14ac:dyDescent="0.25">
      <c r="A534" s="14">
        <v>95</v>
      </c>
      <c r="B534" s="14"/>
      <c r="C534" s="19" t="s">
        <v>337</v>
      </c>
      <c r="D534" s="18"/>
      <c r="E534" s="18">
        <v>20000</v>
      </c>
      <c r="F534" s="18"/>
    </row>
    <row r="535" spans="1:6" x14ac:dyDescent="0.25">
      <c r="A535" s="14">
        <v>96</v>
      </c>
      <c r="B535" s="14"/>
      <c r="C535" s="19" t="s">
        <v>61</v>
      </c>
      <c r="D535" s="18"/>
      <c r="E535" s="18">
        <v>75000</v>
      </c>
      <c r="F535" s="18"/>
    </row>
    <row r="536" spans="1:6" x14ac:dyDescent="0.25">
      <c r="A536" s="14">
        <v>98</v>
      </c>
      <c r="B536" s="16">
        <v>45857</v>
      </c>
      <c r="C536" s="19" t="s">
        <v>376</v>
      </c>
      <c r="D536" s="18"/>
      <c r="E536" s="18">
        <v>200000</v>
      </c>
      <c r="F536" s="18"/>
    </row>
    <row r="537" spans="1:6" x14ac:dyDescent="0.25">
      <c r="A537" s="14">
        <v>99</v>
      </c>
      <c r="B537" s="16">
        <v>45860</v>
      </c>
      <c r="C537" s="19" t="s">
        <v>377</v>
      </c>
      <c r="D537" s="18"/>
      <c r="E537" s="18">
        <v>60000</v>
      </c>
      <c r="F537" s="18"/>
    </row>
    <row r="538" spans="1:6" x14ac:dyDescent="0.25">
      <c r="A538" s="14">
        <v>100</v>
      </c>
      <c r="B538" s="14"/>
      <c r="C538" s="19" t="s">
        <v>378</v>
      </c>
      <c r="D538" s="18"/>
      <c r="E538" s="18">
        <v>406000</v>
      </c>
      <c r="F538" s="18"/>
    </row>
    <row r="539" spans="1:6" x14ac:dyDescent="0.25">
      <c r="A539" s="14">
        <v>101</v>
      </c>
      <c r="B539" s="22"/>
      <c r="C539" s="23" t="s">
        <v>379</v>
      </c>
      <c r="D539" s="25"/>
      <c r="E539" s="25">
        <v>600000</v>
      </c>
      <c r="F539" s="25"/>
    </row>
    <row r="540" spans="1:6" x14ac:dyDescent="0.25">
      <c r="A540" s="144">
        <v>102</v>
      </c>
      <c r="B540" s="47"/>
      <c r="C540" s="48" t="s">
        <v>380</v>
      </c>
      <c r="D540" s="25"/>
      <c r="E540" s="28">
        <v>900000</v>
      </c>
      <c r="F540" s="28"/>
    </row>
    <row r="541" spans="1:6" x14ac:dyDescent="0.25">
      <c r="A541" s="145"/>
      <c r="B541" s="50"/>
      <c r="C541" s="51" t="s">
        <v>381</v>
      </c>
      <c r="D541" s="32"/>
      <c r="E541" s="33"/>
      <c r="F541" s="33"/>
    </row>
    <row r="542" spans="1:6" x14ac:dyDescent="0.25">
      <c r="A542" s="14">
        <v>103</v>
      </c>
      <c r="B542" s="29"/>
      <c r="C542" s="53" t="s">
        <v>382</v>
      </c>
      <c r="D542" s="32"/>
      <c r="E542" s="32">
        <v>379500</v>
      </c>
      <c r="F542" s="32"/>
    </row>
    <row r="543" spans="1:6" x14ac:dyDescent="0.25">
      <c r="A543" s="14">
        <v>104</v>
      </c>
      <c r="B543" s="16">
        <v>45863</v>
      </c>
      <c r="C543" s="19" t="s">
        <v>61</v>
      </c>
      <c r="D543" s="18"/>
      <c r="E543" s="18">
        <v>79000</v>
      </c>
      <c r="F543" s="18"/>
    </row>
    <row r="544" spans="1:6" x14ac:dyDescent="0.25">
      <c r="A544" s="14">
        <v>105</v>
      </c>
      <c r="B544" s="14"/>
      <c r="C544" s="19" t="s">
        <v>337</v>
      </c>
      <c r="D544" s="18"/>
      <c r="E544" s="18">
        <v>20000</v>
      </c>
      <c r="F544" s="18"/>
    </row>
    <row r="545" spans="1:6" x14ac:dyDescent="0.25">
      <c r="A545" s="14">
        <v>106</v>
      </c>
      <c r="B545" s="14"/>
      <c r="C545" s="19" t="s">
        <v>276</v>
      </c>
      <c r="D545" s="18"/>
      <c r="E545" s="18">
        <v>28000</v>
      </c>
      <c r="F545" s="18"/>
    </row>
    <row r="546" spans="1:6" x14ac:dyDescent="0.25">
      <c r="A546" s="14">
        <v>107</v>
      </c>
      <c r="B546" s="14"/>
      <c r="C546" s="19" t="s">
        <v>383</v>
      </c>
      <c r="D546" s="18"/>
      <c r="E546" s="18">
        <v>75000</v>
      </c>
      <c r="F546" s="18"/>
    </row>
    <row r="547" spans="1:6" x14ac:dyDescent="0.25">
      <c r="A547" s="14">
        <v>108</v>
      </c>
      <c r="B547" s="14"/>
      <c r="C547" s="19" t="s">
        <v>384</v>
      </c>
      <c r="D547" s="18"/>
      <c r="E547" s="18">
        <v>22500</v>
      </c>
      <c r="F547" s="18"/>
    </row>
    <row r="548" spans="1:6" x14ac:dyDescent="0.25">
      <c r="A548" s="14">
        <v>109</v>
      </c>
      <c r="B548" s="14"/>
      <c r="C548" s="19" t="s">
        <v>385</v>
      </c>
      <c r="D548" s="18"/>
      <c r="E548" s="18">
        <v>17000</v>
      </c>
      <c r="F548" s="18"/>
    </row>
    <row r="549" spans="1:6" x14ac:dyDescent="0.25">
      <c r="A549" s="14">
        <v>111</v>
      </c>
      <c r="B549" s="16">
        <v>45868</v>
      </c>
      <c r="C549" s="19" t="s">
        <v>378</v>
      </c>
      <c r="D549" s="18"/>
      <c r="E549" s="116">
        <v>200000</v>
      </c>
      <c r="F549" s="18"/>
    </row>
    <row r="550" spans="1:6" ht="15.75" x14ac:dyDescent="0.25">
      <c r="A550" s="14">
        <v>44</v>
      </c>
      <c r="B550" s="14"/>
      <c r="C550" s="21" t="s">
        <v>325</v>
      </c>
      <c r="D550" s="18"/>
      <c r="E550" s="18">
        <v>40000000</v>
      </c>
      <c r="F550" s="18"/>
    </row>
    <row r="551" spans="1:6" ht="15.75" x14ac:dyDescent="0.25">
      <c r="A551" s="14">
        <v>45</v>
      </c>
      <c r="B551" s="14"/>
      <c r="C551" s="21" t="s">
        <v>326</v>
      </c>
      <c r="D551" s="18"/>
      <c r="E551" s="18">
        <v>18000000</v>
      </c>
      <c r="F551" s="18"/>
    </row>
    <row r="552" spans="1:6" ht="15.75" x14ac:dyDescent="0.25">
      <c r="A552" s="29">
        <v>52</v>
      </c>
      <c r="B552" s="98">
        <v>45847</v>
      </c>
      <c r="C552" s="52" t="s">
        <v>333</v>
      </c>
      <c r="D552" s="32"/>
      <c r="E552" s="32">
        <v>1200000</v>
      </c>
      <c r="F552" s="32"/>
    </row>
    <row r="553" spans="1:6" ht="15.75" x14ac:dyDescent="0.25">
      <c r="A553" s="14">
        <v>53</v>
      </c>
      <c r="B553" s="14"/>
      <c r="C553" s="21" t="s">
        <v>334</v>
      </c>
      <c r="D553" s="18"/>
      <c r="E553" s="18">
        <v>650000</v>
      </c>
      <c r="F553" s="18"/>
    </row>
    <row r="554" spans="1:6" x14ac:dyDescent="0.25">
      <c r="A554" s="14">
        <v>85</v>
      </c>
      <c r="B554" s="14"/>
      <c r="C554" s="19" t="s">
        <v>366</v>
      </c>
      <c r="D554" s="18"/>
      <c r="E554" s="116">
        <v>4718000</v>
      </c>
      <c r="F554" s="18"/>
    </row>
    <row r="555" spans="1:6" x14ac:dyDescent="0.25">
      <c r="A555" s="14">
        <v>97</v>
      </c>
      <c r="B555" s="14"/>
      <c r="C555" s="19" t="s">
        <v>375</v>
      </c>
      <c r="D555" s="18"/>
      <c r="E555" s="116">
        <v>1014000</v>
      </c>
      <c r="F555" s="18"/>
    </row>
    <row r="556" spans="1:6" x14ac:dyDescent="0.25">
      <c r="A556" s="14">
        <v>90</v>
      </c>
      <c r="B556" s="14"/>
      <c r="C556" s="19" t="s">
        <v>370</v>
      </c>
      <c r="D556" s="18"/>
      <c r="E556" s="116">
        <v>1700000</v>
      </c>
      <c r="F556" s="18"/>
    </row>
    <row r="557" spans="1:6" x14ac:dyDescent="0.25">
      <c r="A557" s="14">
        <v>110</v>
      </c>
      <c r="B557" s="14"/>
      <c r="C557" s="19" t="s">
        <v>386</v>
      </c>
      <c r="D557" s="18"/>
      <c r="E557" s="116">
        <v>1904000</v>
      </c>
      <c r="F557" s="18"/>
    </row>
    <row r="558" spans="1:6" x14ac:dyDescent="0.25">
      <c r="A558" s="14"/>
      <c r="B558" s="16"/>
      <c r="C558" s="99" t="s">
        <v>343</v>
      </c>
      <c r="D558" s="100"/>
      <c r="E558" s="100"/>
      <c r="F558" s="18"/>
    </row>
    <row r="559" spans="1:6" ht="15.75" x14ac:dyDescent="0.25">
      <c r="A559" s="14">
        <v>63</v>
      </c>
      <c r="B559" s="16">
        <v>45847</v>
      </c>
      <c r="C559" s="101" t="s">
        <v>344</v>
      </c>
      <c r="D559" s="100"/>
      <c r="E559" s="100">
        <v>162500</v>
      </c>
      <c r="F559" s="18"/>
    </row>
    <row r="560" spans="1:6" ht="15.75" x14ac:dyDescent="0.25">
      <c r="A560" s="14">
        <v>64</v>
      </c>
      <c r="B560" s="14"/>
      <c r="C560" s="101" t="s">
        <v>345</v>
      </c>
      <c r="D560" s="100"/>
      <c r="E560" s="100">
        <v>18000</v>
      </c>
      <c r="F560" s="18"/>
    </row>
    <row r="561" spans="1:6" ht="15.75" x14ac:dyDescent="0.25">
      <c r="A561" s="14">
        <v>65</v>
      </c>
      <c r="B561" s="14"/>
      <c r="C561" s="101" t="s">
        <v>346</v>
      </c>
      <c r="D561" s="100"/>
      <c r="E561" s="100">
        <v>1495000</v>
      </c>
      <c r="F561" s="18"/>
    </row>
    <row r="562" spans="1:6" ht="15.75" x14ac:dyDescent="0.25">
      <c r="A562" s="14">
        <v>66</v>
      </c>
      <c r="B562" s="16">
        <v>45849</v>
      </c>
      <c r="C562" s="101" t="s">
        <v>347</v>
      </c>
      <c r="D562" s="100"/>
      <c r="E562" s="100">
        <v>108000</v>
      </c>
      <c r="F562" s="18"/>
    </row>
    <row r="563" spans="1:6" ht="15.75" x14ac:dyDescent="0.25">
      <c r="A563" s="14">
        <v>67</v>
      </c>
      <c r="B563" s="16"/>
      <c r="C563" s="101" t="s">
        <v>348</v>
      </c>
      <c r="D563" s="100"/>
      <c r="E563" s="100">
        <v>411500</v>
      </c>
      <c r="F563" s="18"/>
    </row>
    <row r="564" spans="1:6" x14ac:dyDescent="0.25">
      <c r="A564" s="14">
        <v>68</v>
      </c>
      <c r="B564" s="14"/>
      <c r="C564" s="102" t="s">
        <v>349</v>
      </c>
      <c r="D564" s="100"/>
      <c r="E564" s="100">
        <v>234000</v>
      </c>
      <c r="F564" s="18"/>
    </row>
    <row r="565" spans="1:6" x14ac:dyDescent="0.25">
      <c r="A565" s="14">
        <v>70</v>
      </c>
      <c r="B565" s="16">
        <v>45850</v>
      </c>
      <c r="C565" s="102" t="s">
        <v>351</v>
      </c>
      <c r="D565" s="100"/>
      <c r="E565" s="100">
        <v>178000</v>
      </c>
      <c r="F565" s="18"/>
    </row>
    <row r="566" spans="1:6" x14ac:dyDescent="0.25">
      <c r="A566" s="14">
        <v>71</v>
      </c>
      <c r="B566" s="16">
        <v>45851</v>
      </c>
      <c r="C566" s="102" t="s">
        <v>352</v>
      </c>
      <c r="D566" s="100"/>
      <c r="E566" s="100">
        <v>400000</v>
      </c>
      <c r="F566" s="18"/>
    </row>
    <row r="567" spans="1:6" x14ac:dyDescent="0.25">
      <c r="A567" s="14">
        <v>72</v>
      </c>
      <c r="B567" s="14"/>
      <c r="C567" s="102" t="s">
        <v>353</v>
      </c>
      <c r="D567" s="100"/>
      <c r="E567" s="100">
        <v>750000</v>
      </c>
      <c r="F567" s="18"/>
    </row>
    <row r="568" spans="1:6" x14ac:dyDescent="0.25">
      <c r="A568" s="14">
        <v>73</v>
      </c>
      <c r="B568" s="14"/>
      <c r="C568" s="102" t="s">
        <v>354</v>
      </c>
      <c r="D568" s="100"/>
      <c r="E568" s="100">
        <v>500000</v>
      </c>
      <c r="F568" s="18"/>
    </row>
    <row r="569" spans="1:6" x14ac:dyDescent="0.25">
      <c r="A569" s="14">
        <v>74</v>
      </c>
      <c r="B569" s="14"/>
      <c r="C569" s="102" t="s">
        <v>355</v>
      </c>
      <c r="D569" s="100"/>
      <c r="E569" s="100">
        <v>300000</v>
      </c>
      <c r="F569" s="18"/>
    </row>
    <row r="570" spans="1:6" x14ac:dyDescent="0.25">
      <c r="A570" s="14">
        <v>75</v>
      </c>
      <c r="B570" s="14"/>
      <c r="C570" s="102" t="s">
        <v>356</v>
      </c>
      <c r="D570" s="100"/>
      <c r="E570" s="116">
        <v>600000</v>
      </c>
      <c r="F570" s="18"/>
    </row>
    <row r="571" spans="1:6" x14ac:dyDescent="0.25">
      <c r="A571" s="14">
        <v>76</v>
      </c>
      <c r="B571" s="14"/>
      <c r="C571" s="102" t="s">
        <v>357</v>
      </c>
      <c r="D571" s="100"/>
      <c r="E571" s="116">
        <v>30000</v>
      </c>
      <c r="F571" s="18"/>
    </row>
    <row r="572" spans="1:6" x14ac:dyDescent="0.25">
      <c r="A572" s="14">
        <v>77</v>
      </c>
      <c r="B572" s="14"/>
      <c r="C572" s="102" t="s">
        <v>358</v>
      </c>
      <c r="D572" s="100"/>
      <c r="E572" s="116">
        <v>312000</v>
      </c>
      <c r="F572" s="18"/>
    </row>
    <row r="573" spans="1:6" x14ac:dyDescent="0.25">
      <c r="A573" s="14">
        <v>78</v>
      </c>
      <c r="B573" s="14"/>
      <c r="C573" s="102" t="s">
        <v>359</v>
      </c>
      <c r="D573" s="100"/>
      <c r="E573" s="116">
        <v>3670000</v>
      </c>
      <c r="F573" s="18"/>
    </row>
    <row r="574" spans="1:6" x14ac:dyDescent="0.25">
      <c r="A574" s="14">
        <v>79</v>
      </c>
      <c r="B574" s="14"/>
      <c r="C574" s="102" t="s">
        <v>360</v>
      </c>
      <c r="D574" s="100"/>
      <c r="E574" s="116">
        <v>30000</v>
      </c>
      <c r="F574" s="18"/>
    </row>
    <row r="575" spans="1:6" x14ac:dyDescent="0.25">
      <c r="A575" s="14">
        <v>69</v>
      </c>
      <c r="B575" s="14"/>
      <c r="C575" s="102" t="s">
        <v>350</v>
      </c>
      <c r="D575" s="100"/>
      <c r="E575" s="100">
        <v>2190000</v>
      </c>
      <c r="F575" s="18"/>
    </row>
    <row r="576" spans="1:6" x14ac:dyDescent="0.25">
      <c r="A576" s="14"/>
      <c r="B576" s="16"/>
      <c r="C576" s="19"/>
      <c r="D576" s="18"/>
      <c r="E576" s="18"/>
      <c r="F576" s="18"/>
    </row>
    <row r="577" spans="1:6" x14ac:dyDescent="0.25">
      <c r="A577" s="42"/>
      <c r="B577" s="103"/>
      <c r="C577" s="35" t="s">
        <v>71</v>
      </c>
      <c r="D577" s="36">
        <f>SUM(D459:D576)</f>
        <v>35610000</v>
      </c>
      <c r="E577" s="36">
        <f>SUM(E459:E576)</f>
        <v>97357900</v>
      </c>
      <c r="F577" s="36">
        <f>D577-E577</f>
        <v>-61747900</v>
      </c>
    </row>
    <row r="578" spans="1:6" x14ac:dyDescent="0.25">
      <c r="A578" s="85"/>
      <c r="B578" s="85"/>
      <c r="D578" s="38"/>
      <c r="E578" s="38"/>
      <c r="F578" s="38"/>
    </row>
    <row r="579" spans="1:6" x14ac:dyDescent="0.25">
      <c r="A579" s="85"/>
      <c r="B579" s="85"/>
      <c r="D579" s="137" t="s">
        <v>387</v>
      </c>
      <c r="E579" s="137"/>
      <c r="F579" s="137"/>
    </row>
    <row r="580" spans="1:6" x14ac:dyDescent="0.25">
      <c r="A580" s="133" t="s">
        <v>73</v>
      </c>
      <c r="B580" s="133"/>
      <c r="C580" s="133"/>
      <c r="D580" s="137" t="s">
        <v>74</v>
      </c>
      <c r="E580" s="137"/>
      <c r="F580" s="137"/>
    </row>
    <row r="581" spans="1:6" x14ac:dyDescent="0.25">
      <c r="A581" s="85"/>
      <c r="B581" s="85"/>
      <c r="D581" s="38"/>
      <c r="E581" s="38"/>
      <c r="F581" s="38"/>
    </row>
    <row r="582" spans="1:6" x14ac:dyDescent="0.25">
      <c r="A582" s="85"/>
      <c r="B582" s="85"/>
      <c r="D582" s="38"/>
      <c r="E582" s="38"/>
      <c r="F582" s="38"/>
    </row>
    <row r="583" spans="1:6" x14ac:dyDescent="0.25">
      <c r="A583" s="133" t="s">
        <v>75</v>
      </c>
      <c r="B583" s="133"/>
      <c r="C583" s="133"/>
      <c r="D583" s="137" t="s">
        <v>76</v>
      </c>
      <c r="E583" s="137"/>
      <c r="F583" s="137"/>
    </row>
    <row r="584" spans="1:6" x14ac:dyDescent="0.25">
      <c r="A584" s="85"/>
      <c r="B584" s="85"/>
      <c r="D584" s="38"/>
      <c r="E584" s="38"/>
      <c r="F584" s="38"/>
    </row>
    <row r="586" spans="1:6" ht="15.75" x14ac:dyDescent="0.25">
      <c r="A586" s="138" t="s">
        <v>19</v>
      </c>
      <c r="B586" s="139"/>
      <c r="C586" s="139"/>
      <c r="D586" s="139"/>
      <c r="E586" s="139"/>
      <c r="F586" s="140"/>
    </row>
    <row r="587" spans="1:6" ht="15.75" x14ac:dyDescent="0.25">
      <c r="A587" s="141" t="s">
        <v>388</v>
      </c>
      <c r="B587" s="142"/>
      <c r="C587" s="142"/>
      <c r="D587" s="142"/>
      <c r="E587" s="142"/>
      <c r="F587" s="143"/>
    </row>
    <row r="588" spans="1:6" x14ac:dyDescent="0.25">
      <c r="A588" s="14" t="s">
        <v>1</v>
      </c>
      <c r="B588" s="14" t="s">
        <v>21</v>
      </c>
      <c r="C588" s="14" t="s">
        <v>22</v>
      </c>
      <c r="D588" s="15" t="s">
        <v>23</v>
      </c>
      <c r="E588" s="15" t="s">
        <v>24</v>
      </c>
      <c r="F588" s="15" t="s">
        <v>5</v>
      </c>
    </row>
    <row r="589" spans="1:6" x14ac:dyDescent="0.25">
      <c r="A589" s="14">
        <v>1</v>
      </c>
      <c r="B589" s="16">
        <v>45870</v>
      </c>
      <c r="C589" s="17" t="s">
        <v>31</v>
      </c>
      <c r="D589" s="40">
        <v>960000</v>
      </c>
      <c r="E589" s="18"/>
      <c r="F589" s="18"/>
    </row>
    <row r="590" spans="1:6" x14ac:dyDescent="0.25">
      <c r="A590" s="14">
        <v>2</v>
      </c>
      <c r="B590" s="16">
        <v>45870</v>
      </c>
      <c r="C590" s="61" t="s">
        <v>27</v>
      </c>
      <c r="D590" s="15">
        <v>1230000</v>
      </c>
      <c r="E590" s="18"/>
      <c r="F590" s="18"/>
    </row>
    <row r="591" spans="1:6" x14ac:dyDescent="0.25">
      <c r="A591" s="14">
        <v>3</v>
      </c>
      <c r="B591" s="16">
        <v>45870</v>
      </c>
      <c r="C591" s="17" t="s">
        <v>389</v>
      </c>
      <c r="D591" s="40">
        <v>2125000</v>
      </c>
      <c r="E591" s="18"/>
      <c r="F591" s="18"/>
    </row>
    <row r="592" spans="1:6" x14ac:dyDescent="0.25">
      <c r="A592" s="14">
        <v>4</v>
      </c>
      <c r="B592" s="16">
        <v>45870</v>
      </c>
      <c r="C592" s="17" t="s">
        <v>32</v>
      </c>
      <c r="D592" s="40">
        <v>1125000</v>
      </c>
      <c r="E592" s="18"/>
      <c r="F592" s="18"/>
    </row>
    <row r="593" spans="1:6" x14ac:dyDescent="0.25">
      <c r="A593" s="14">
        <v>5</v>
      </c>
      <c r="B593" s="16">
        <v>45870</v>
      </c>
      <c r="C593" s="17" t="s">
        <v>390</v>
      </c>
      <c r="D593" s="40">
        <v>855000</v>
      </c>
      <c r="E593" s="18"/>
      <c r="F593" s="18"/>
    </row>
    <row r="594" spans="1:6" x14ac:dyDescent="0.25">
      <c r="A594" s="14">
        <v>6</v>
      </c>
      <c r="B594" s="16">
        <v>45871</v>
      </c>
      <c r="C594" s="17" t="s">
        <v>26</v>
      </c>
      <c r="D594" s="40">
        <v>840000</v>
      </c>
      <c r="E594" s="18"/>
      <c r="F594" s="18"/>
    </row>
    <row r="595" spans="1:6" x14ac:dyDescent="0.25">
      <c r="A595" s="14">
        <v>7</v>
      </c>
      <c r="B595" s="16">
        <v>45873</v>
      </c>
      <c r="C595" s="17" t="s">
        <v>391</v>
      </c>
      <c r="D595" s="40">
        <v>980000</v>
      </c>
      <c r="E595" s="18"/>
      <c r="F595" s="18"/>
    </row>
    <row r="596" spans="1:6" x14ac:dyDescent="0.25">
      <c r="A596" s="14">
        <v>8</v>
      </c>
      <c r="B596" s="16">
        <v>45873</v>
      </c>
      <c r="C596" s="17" t="s">
        <v>33</v>
      </c>
      <c r="D596" s="40">
        <v>1000000</v>
      </c>
      <c r="E596" s="18"/>
      <c r="F596" s="18"/>
    </row>
    <row r="597" spans="1:6" x14ac:dyDescent="0.25">
      <c r="A597" s="14">
        <v>9</v>
      </c>
      <c r="B597" s="16">
        <v>45873</v>
      </c>
      <c r="C597" s="17" t="s">
        <v>311</v>
      </c>
      <c r="D597" s="40">
        <v>1125000</v>
      </c>
      <c r="E597" s="18"/>
      <c r="F597" s="18"/>
    </row>
    <row r="598" spans="1:6" x14ac:dyDescent="0.25">
      <c r="A598" s="14">
        <v>10</v>
      </c>
      <c r="B598" s="16">
        <v>45873</v>
      </c>
      <c r="C598" s="17" t="s">
        <v>392</v>
      </c>
      <c r="D598" s="40">
        <v>775000</v>
      </c>
      <c r="E598" s="18"/>
      <c r="F598" s="18"/>
    </row>
    <row r="599" spans="1:6" x14ac:dyDescent="0.25">
      <c r="A599" s="14">
        <v>11</v>
      </c>
      <c r="B599" s="16">
        <v>45873</v>
      </c>
      <c r="C599" s="17" t="s">
        <v>29</v>
      </c>
      <c r="D599" s="40">
        <v>750000</v>
      </c>
      <c r="E599" s="18"/>
      <c r="F599" s="18"/>
    </row>
    <row r="600" spans="1:6" x14ac:dyDescent="0.25">
      <c r="A600" s="14">
        <v>12</v>
      </c>
      <c r="B600" s="16">
        <v>45873</v>
      </c>
      <c r="C600" s="17" t="s">
        <v>34</v>
      </c>
      <c r="D600" s="40">
        <v>1375000</v>
      </c>
      <c r="E600" s="18"/>
      <c r="F600" s="18"/>
    </row>
    <row r="601" spans="1:6" x14ac:dyDescent="0.25">
      <c r="A601" s="14">
        <v>13</v>
      </c>
      <c r="B601" s="16">
        <v>45874</v>
      </c>
      <c r="C601" s="17" t="s">
        <v>393</v>
      </c>
      <c r="D601" s="40">
        <v>1400000</v>
      </c>
      <c r="E601" s="18"/>
      <c r="F601" s="18"/>
    </row>
    <row r="602" spans="1:6" x14ac:dyDescent="0.25">
      <c r="A602" s="14">
        <v>14</v>
      </c>
      <c r="B602" s="16">
        <v>45874</v>
      </c>
      <c r="C602" s="17" t="s">
        <v>394</v>
      </c>
      <c r="D602" s="40">
        <v>780000</v>
      </c>
      <c r="E602" s="18"/>
      <c r="F602" s="18"/>
    </row>
    <row r="603" spans="1:6" x14ac:dyDescent="0.25">
      <c r="A603" s="14">
        <v>15</v>
      </c>
      <c r="B603" s="16">
        <v>45875</v>
      </c>
      <c r="C603" s="17" t="s">
        <v>317</v>
      </c>
      <c r="D603" s="40">
        <v>990000</v>
      </c>
      <c r="E603" s="18"/>
      <c r="F603" s="18"/>
    </row>
    <row r="604" spans="1:6" x14ac:dyDescent="0.25">
      <c r="A604" s="14">
        <v>16</v>
      </c>
      <c r="B604" s="16">
        <v>45875</v>
      </c>
      <c r="C604" s="17" t="s">
        <v>42</v>
      </c>
      <c r="D604" s="40">
        <v>1125000</v>
      </c>
      <c r="E604" s="18"/>
      <c r="F604" s="18"/>
    </row>
    <row r="605" spans="1:6" x14ac:dyDescent="0.25">
      <c r="A605" s="14">
        <v>17</v>
      </c>
      <c r="B605" s="16">
        <v>45876</v>
      </c>
      <c r="C605" s="17" t="s">
        <v>43</v>
      </c>
      <c r="D605" s="40">
        <v>450000</v>
      </c>
      <c r="E605" s="18"/>
      <c r="F605" s="18"/>
    </row>
    <row r="606" spans="1:6" x14ac:dyDescent="0.25">
      <c r="A606" s="14">
        <v>18</v>
      </c>
      <c r="B606" s="16">
        <v>45876</v>
      </c>
      <c r="C606" s="17" t="s">
        <v>395</v>
      </c>
      <c r="D606" s="40">
        <v>1365000</v>
      </c>
      <c r="E606" s="18"/>
      <c r="F606" s="18"/>
    </row>
    <row r="607" spans="1:6" x14ac:dyDescent="0.25">
      <c r="A607" s="14">
        <v>19</v>
      </c>
      <c r="B607" s="16">
        <v>45876</v>
      </c>
      <c r="C607" s="17" t="s">
        <v>89</v>
      </c>
      <c r="D607" s="40">
        <v>1500000</v>
      </c>
      <c r="E607" s="18"/>
      <c r="F607" s="18"/>
    </row>
    <row r="608" spans="1:6" x14ac:dyDescent="0.25">
      <c r="A608" s="14">
        <v>20</v>
      </c>
      <c r="B608" s="16">
        <v>45876</v>
      </c>
      <c r="C608" s="17" t="s">
        <v>396</v>
      </c>
      <c r="D608" s="40">
        <v>220000</v>
      </c>
      <c r="E608" s="18"/>
      <c r="F608" s="18"/>
    </row>
    <row r="609" spans="1:6" x14ac:dyDescent="0.25">
      <c r="A609" s="14">
        <v>21</v>
      </c>
      <c r="B609" s="16">
        <v>45877</v>
      </c>
      <c r="C609" s="17" t="s">
        <v>90</v>
      </c>
      <c r="D609" s="40">
        <v>1355000</v>
      </c>
      <c r="E609" s="18"/>
      <c r="F609" s="18"/>
    </row>
    <row r="610" spans="1:6" x14ac:dyDescent="0.25">
      <c r="A610" s="14">
        <v>22</v>
      </c>
      <c r="B610" s="16">
        <v>45877</v>
      </c>
      <c r="C610" s="17" t="s">
        <v>261</v>
      </c>
      <c r="D610" s="40">
        <v>1450000</v>
      </c>
      <c r="E610" s="18"/>
      <c r="F610" s="18"/>
    </row>
    <row r="611" spans="1:6" x14ac:dyDescent="0.25">
      <c r="A611" s="14">
        <v>23</v>
      </c>
      <c r="B611" s="16">
        <v>45877</v>
      </c>
      <c r="C611" s="17" t="s">
        <v>312</v>
      </c>
      <c r="D611" s="40">
        <v>625000</v>
      </c>
      <c r="E611" s="18"/>
      <c r="F611" s="18"/>
    </row>
    <row r="612" spans="1:6" x14ac:dyDescent="0.25">
      <c r="A612" s="14">
        <v>24</v>
      </c>
      <c r="B612" s="16">
        <v>45877</v>
      </c>
      <c r="C612" s="17" t="s">
        <v>313</v>
      </c>
      <c r="D612" s="40">
        <v>1375000</v>
      </c>
      <c r="E612" s="18"/>
      <c r="F612" s="18"/>
    </row>
    <row r="613" spans="1:6" x14ac:dyDescent="0.25">
      <c r="A613" s="14">
        <v>25</v>
      </c>
      <c r="B613" s="16">
        <v>45877</v>
      </c>
      <c r="C613" s="17" t="s">
        <v>315</v>
      </c>
      <c r="D613" s="40">
        <v>840000</v>
      </c>
      <c r="E613" s="18"/>
      <c r="F613" s="18"/>
    </row>
    <row r="614" spans="1:6" x14ac:dyDescent="0.25">
      <c r="A614" s="14">
        <v>26</v>
      </c>
      <c r="B614" s="16">
        <v>45881</v>
      </c>
      <c r="C614" s="17" t="s">
        <v>41</v>
      </c>
      <c r="D614" s="40">
        <v>750000</v>
      </c>
      <c r="E614" s="18"/>
      <c r="F614" s="18"/>
    </row>
    <row r="615" spans="1:6" x14ac:dyDescent="0.25">
      <c r="A615" s="14">
        <v>27</v>
      </c>
      <c r="B615" s="16">
        <v>45882</v>
      </c>
      <c r="C615" s="17" t="s">
        <v>397</v>
      </c>
      <c r="D615" s="40">
        <v>700000</v>
      </c>
      <c r="E615" s="18"/>
      <c r="F615" s="18"/>
    </row>
    <row r="616" spans="1:6" x14ac:dyDescent="0.25">
      <c r="A616" s="14">
        <v>28</v>
      </c>
      <c r="B616" s="16">
        <v>45882</v>
      </c>
      <c r="C616" s="17" t="s">
        <v>397</v>
      </c>
      <c r="D616" s="40">
        <v>1000000</v>
      </c>
      <c r="E616" s="18"/>
      <c r="F616" s="18"/>
    </row>
    <row r="617" spans="1:6" x14ac:dyDescent="0.25">
      <c r="A617" s="14">
        <v>29</v>
      </c>
      <c r="B617" s="16">
        <v>45883</v>
      </c>
      <c r="C617" s="17" t="s">
        <v>129</v>
      </c>
      <c r="D617" s="40">
        <v>1630000</v>
      </c>
      <c r="E617" s="18"/>
      <c r="F617" s="18"/>
    </row>
    <row r="618" spans="1:6" x14ac:dyDescent="0.25">
      <c r="A618" s="14">
        <v>30</v>
      </c>
      <c r="B618" s="16">
        <v>45888</v>
      </c>
      <c r="C618" s="17" t="s">
        <v>398</v>
      </c>
      <c r="D618" s="40">
        <v>630000</v>
      </c>
      <c r="E618" s="18"/>
      <c r="F618" s="18"/>
    </row>
    <row r="619" spans="1:6" x14ac:dyDescent="0.25">
      <c r="A619" s="14">
        <v>31</v>
      </c>
      <c r="B619" s="16">
        <v>45894</v>
      </c>
      <c r="C619" s="17" t="s">
        <v>399</v>
      </c>
      <c r="D619" s="40">
        <v>800000</v>
      </c>
      <c r="E619" s="18"/>
      <c r="F619" s="18"/>
    </row>
    <row r="620" spans="1:6" x14ac:dyDescent="0.25">
      <c r="A620" s="14">
        <v>32</v>
      </c>
      <c r="B620" s="16">
        <v>45894</v>
      </c>
      <c r="C620" s="17" t="s">
        <v>46</v>
      </c>
      <c r="D620" s="40">
        <v>1115000</v>
      </c>
      <c r="E620" s="18"/>
      <c r="F620" s="18"/>
    </row>
    <row r="621" spans="1:6" x14ac:dyDescent="0.25">
      <c r="A621" s="14">
        <v>33</v>
      </c>
      <c r="B621" s="16">
        <v>45894</v>
      </c>
      <c r="C621" s="17" t="s">
        <v>318</v>
      </c>
      <c r="D621" s="40">
        <v>475000</v>
      </c>
      <c r="E621" s="18"/>
      <c r="F621" s="18"/>
    </row>
    <row r="622" spans="1:6" x14ac:dyDescent="0.25">
      <c r="A622" s="14">
        <v>34</v>
      </c>
      <c r="B622" s="16">
        <v>45894</v>
      </c>
      <c r="C622" s="17" t="s">
        <v>318</v>
      </c>
      <c r="D622" s="40">
        <v>275000</v>
      </c>
      <c r="E622" s="18"/>
      <c r="F622" s="18"/>
    </row>
    <row r="623" spans="1:6" x14ac:dyDescent="0.25">
      <c r="A623" s="14">
        <v>35</v>
      </c>
      <c r="B623" s="16">
        <v>45896</v>
      </c>
      <c r="C623" s="17" t="s">
        <v>314</v>
      </c>
      <c r="D623" s="40">
        <v>900000</v>
      </c>
      <c r="E623" s="18"/>
      <c r="F623" s="18"/>
    </row>
    <row r="624" spans="1:6" x14ac:dyDescent="0.25">
      <c r="A624" s="14">
        <v>36</v>
      </c>
      <c r="B624" s="16">
        <v>45897</v>
      </c>
      <c r="C624" s="17" t="s">
        <v>78</v>
      </c>
      <c r="D624" s="40">
        <v>1125000</v>
      </c>
      <c r="E624" s="18"/>
      <c r="F624" s="18"/>
    </row>
    <row r="625" spans="1:6" x14ac:dyDescent="0.25">
      <c r="A625" s="14"/>
      <c r="B625" s="14"/>
      <c r="C625" s="20" t="s">
        <v>400</v>
      </c>
      <c r="D625" s="18"/>
      <c r="E625" s="18"/>
      <c r="F625" s="18"/>
    </row>
    <row r="626" spans="1:6" ht="15.75" x14ac:dyDescent="0.25">
      <c r="A626" s="14">
        <v>37</v>
      </c>
      <c r="B626" s="16">
        <v>45870</v>
      </c>
      <c r="C626" s="21" t="s">
        <v>50</v>
      </c>
      <c r="D626" s="18"/>
      <c r="E626" s="116">
        <v>1450000</v>
      </c>
      <c r="F626" s="18"/>
    </row>
    <row r="627" spans="1:6" ht="15.75" x14ac:dyDescent="0.25">
      <c r="A627" s="14">
        <v>38</v>
      </c>
      <c r="B627" s="14"/>
      <c r="C627" s="21" t="s">
        <v>51</v>
      </c>
      <c r="D627" s="18"/>
      <c r="E627" s="116">
        <v>1450000</v>
      </c>
      <c r="F627" s="18"/>
    </row>
    <row r="628" spans="1:6" ht="15.75" x14ac:dyDescent="0.25">
      <c r="A628" s="14">
        <v>39</v>
      </c>
      <c r="B628" s="14"/>
      <c r="C628" s="21" t="s">
        <v>53</v>
      </c>
      <c r="D628" s="18"/>
      <c r="E628" s="116">
        <v>1350000</v>
      </c>
      <c r="F628" s="18"/>
    </row>
    <row r="629" spans="1:6" ht="15.75" x14ac:dyDescent="0.25">
      <c r="A629" s="14">
        <v>40</v>
      </c>
      <c r="B629" s="14"/>
      <c r="C629" s="21" t="s">
        <v>401</v>
      </c>
      <c r="D629" s="18"/>
      <c r="E629" s="116">
        <v>1250000</v>
      </c>
      <c r="F629" s="18"/>
    </row>
    <row r="630" spans="1:6" ht="15.75" x14ac:dyDescent="0.25">
      <c r="A630" s="14">
        <v>41</v>
      </c>
      <c r="B630" s="14"/>
      <c r="C630" s="21" t="s">
        <v>402</v>
      </c>
      <c r="D630" s="40"/>
      <c r="E630" s="116">
        <v>1250000</v>
      </c>
      <c r="F630" s="18"/>
    </row>
    <row r="631" spans="1:6" x14ac:dyDescent="0.25">
      <c r="A631" s="14">
        <v>48</v>
      </c>
      <c r="B631" s="14"/>
      <c r="C631" s="19" t="s">
        <v>405</v>
      </c>
      <c r="D631" s="18"/>
      <c r="E631" s="18">
        <v>300000</v>
      </c>
      <c r="F631" s="18"/>
    </row>
    <row r="632" spans="1:6" x14ac:dyDescent="0.25">
      <c r="A632" s="14">
        <v>49</v>
      </c>
      <c r="B632" s="14"/>
      <c r="C632" s="19" t="s">
        <v>406</v>
      </c>
      <c r="D632" s="18"/>
      <c r="E632" s="18">
        <v>44000</v>
      </c>
      <c r="F632" s="18"/>
    </row>
    <row r="633" spans="1:6" x14ac:dyDescent="0.25">
      <c r="A633" s="14">
        <v>62</v>
      </c>
      <c r="B633" s="14"/>
      <c r="C633" s="19" t="s">
        <v>420</v>
      </c>
      <c r="D633" s="18"/>
      <c r="E633" s="18">
        <v>108000</v>
      </c>
      <c r="F633" s="18"/>
    </row>
    <row r="634" spans="1:6" ht="15.75" x14ac:dyDescent="0.25">
      <c r="A634" s="14">
        <v>43</v>
      </c>
      <c r="B634" s="14"/>
      <c r="C634" s="21" t="s">
        <v>55</v>
      </c>
      <c r="D634" s="18"/>
      <c r="E634" s="18">
        <v>1140000</v>
      </c>
      <c r="F634" s="18"/>
    </row>
    <row r="635" spans="1:6" ht="15.75" x14ac:dyDescent="0.25">
      <c r="A635" s="14">
        <v>44</v>
      </c>
      <c r="B635" s="14"/>
      <c r="C635" s="21" t="s">
        <v>56</v>
      </c>
      <c r="D635" s="18"/>
      <c r="E635" s="18">
        <v>2260000</v>
      </c>
      <c r="F635" s="18"/>
    </row>
    <row r="636" spans="1:6" x14ac:dyDescent="0.25">
      <c r="A636" s="14">
        <v>45</v>
      </c>
      <c r="B636" s="16">
        <v>45870</v>
      </c>
      <c r="C636" s="19" t="s">
        <v>403</v>
      </c>
      <c r="D636" s="18"/>
      <c r="E636" s="116">
        <v>60000</v>
      </c>
      <c r="F636" s="18"/>
    </row>
    <row r="637" spans="1:6" x14ac:dyDescent="0.25">
      <c r="A637" s="14">
        <v>46</v>
      </c>
      <c r="B637" s="14"/>
      <c r="C637" s="19" t="s">
        <v>276</v>
      </c>
      <c r="D637" s="18"/>
      <c r="E637" s="116">
        <v>50000</v>
      </c>
      <c r="F637" s="18"/>
    </row>
    <row r="638" spans="1:6" ht="15.75" x14ac:dyDescent="0.25">
      <c r="A638" s="14">
        <v>42</v>
      </c>
      <c r="B638" s="14"/>
      <c r="C638" s="21" t="s">
        <v>133</v>
      </c>
      <c r="D638" s="18"/>
      <c r="E638" s="116">
        <v>200000</v>
      </c>
      <c r="F638" s="18"/>
    </row>
    <row r="639" spans="1:6" x14ac:dyDescent="0.25">
      <c r="A639" s="14">
        <v>47</v>
      </c>
      <c r="B639" s="14"/>
      <c r="C639" s="19" t="s">
        <v>404</v>
      </c>
      <c r="D639" s="18"/>
      <c r="E639" s="116">
        <v>25000</v>
      </c>
      <c r="F639" s="18"/>
    </row>
    <row r="640" spans="1:6" x14ac:dyDescent="0.25">
      <c r="A640" s="14">
        <v>51</v>
      </c>
      <c r="B640" s="14"/>
      <c r="C640" s="19" t="s">
        <v>408</v>
      </c>
      <c r="D640" s="18"/>
      <c r="E640" s="116">
        <v>54000</v>
      </c>
      <c r="F640" s="18"/>
    </row>
    <row r="641" spans="1:6" x14ac:dyDescent="0.25">
      <c r="A641" s="14">
        <v>52</v>
      </c>
      <c r="B641" s="14"/>
      <c r="C641" s="19" t="s">
        <v>409</v>
      </c>
      <c r="D641" s="18"/>
      <c r="E641" s="116">
        <v>25000</v>
      </c>
      <c r="F641" s="18"/>
    </row>
    <row r="642" spans="1:6" x14ac:dyDescent="0.25">
      <c r="A642" s="14">
        <v>53</v>
      </c>
      <c r="B642" s="14"/>
      <c r="C642" s="19" t="s">
        <v>410</v>
      </c>
      <c r="D642" s="18"/>
      <c r="E642" s="116">
        <v>400000</v>
      </c>
      <c r="F642" s="18"/>
    </row>
    <row r="643" spans="1:6" x14ac:dyDescent="0.25">
      <c r="A643" s="14">
        <v>54</v>
      </c>
      <c r="B643" s="14"/>
      <c r="C643" s="19" t="s">
        <v>411</v>
      </c>
      <c r="D643" s="18"/>
      <c r="E643" s="116">
        <v>45000</v>
      </c>
      <c r="F643" s="18"/>
    </row>
    <row r="644" spans="1:6" x14ac:dyDescent="0.25">
      <c r="A644" s="14">
        <v>55</v>
      </c>
      <c r="B644" s="14"/>
      <c r="C644" s="19" t="s">
        <v>412</v>
      </c>
      <c r="D644" s="18"/>
      <c r="E644" s="116">
        <v>90000</v>
      </c>
      <c r="F644" s="18"/>
    </row>
    <row r="645" spans="1:6" x14ac:dyDescent="0.25">
      <c r="A645" s="14">
        <v>56</v>
      </c>
      <c r="B645" s="14"/>
      <c r="C645" s="19" t="s">
        <v>413</v>
      </c>
      <c r="D645" s="18"/>
      <c r="E645" s="116">
        <v>37500</v>
      </c>
      <c r="F645" s="18"/>
    </row>
    <row r="646" spans="1:6" x14ac:dyDescent="0.25">
      <c r="A646" s="14">
        <v>57</v>
      </c>
      <c r="B646" s="14"/>
      <c r="C646" s="19" t="s">
        <v>414</v>
      </c>
      <c r="D646" s="18"/>
      <c r="E646" s="116">
        <v>6000</v>
      </c>
      <c r="F646" s="18"/>
    </row>
    <row r="647" spans="1:6" x14ac:dyDescent="0.25">
      <c r="A647" s="14">
        <v>58</v>
      </c>
      <c r="B647" s="14"/>
      <c r="C647" s="19" t="s">
        <v>415</v>
      </c>
      <c r="D647" s="18"/>
      <c r="E647" s="116">
        <v>300000</v>
      </c>
      <c r="F647" s="18"/>
    </row>
    <row r="648" spans="1:6" x14ac:dyDescent="0.25">
      <c r="A648" s="14">
        <v>59</v>
      </c>
      <c r="B648" s="16">
        <v>45873</v>
      </c>
      <c r="C648" s="19" t="s">
        <v>416</v>
      </c>
      <c r="D648" s="18"/>
      <c r="E648" s="116">
        <v>344000</v>
      </c>
      <c r="F648" s="18"/>
    </row>
    <row r="649" spans="1:6" x14ac:dyDescent="0.25">
      <c r="A649" s="14"/>
      <c r="B649" s="14"/>
      <c r="C649" s="19" t="s">
        <v>417</v>
      </c>
      <c r="D649" s="18"/>
      <c r="E649" s="116"/>
      <c r="F649" s="18"/>
    </row>
    <row r="650" spans="1:6" x14ac:dyDescent="0.25">
      <c r="A650" s="14">
        <v>60</v>
      </c>
      <c r="B650" s="14"/>
      <c r="C650" s="19" t="s">
        <v>418</v>
      </c>
      <c r="D650" s="18"/>
      <c r="E650" s="116">
        <v>70000</v>
      </c>
      <c r="F650" s="18"/>
    </row>
    <row r="651" spans="1:6" x14ac:dyDescent="0.25">
      <c r="A651" s="14">
        <v>63</v>
      </c>
      <c r="B651" s="14"/>
      <c r="C651" s="19" t="s">
        <v>421</v>
      </c>
      <c r="D651" s="18"/>
      <c r="E651" s="116">
        <v>30000</v>
      </c>
      <c r="F651" s="18"/>
    </row>
    <row r="652" spans="1:6" x14ac:dyDescent="0.25">
      <c r="A652" s="14">
        <v>50</v>
      </c>
      <c r="B652" s="14"/>
      <c r="C652" s="19" t="s">
        <v>407</v>
      </c>
      <c r="D652" s="18"/>
      <c r="E652" s="18">
        <v>1511000</v>
      </c>
      <c r="F652" s="18"/>
    </row>
    <row r="653" spans="1:6" x14ac:dyDescent="0.25">
      <c r="A653" s="14">
        <v>61</v>
      </c>
      <c r="B653" s="14"/>
      <c r="C653" s="19" t="s">
        <v>419</v>
      </c>
      <c r="D653" s="18"/>
      <c r="E653" s="116">
        <v>102000</v>
      </c>
      <c r="F653" s="18"/>
    </row>
    <row r="654" spans="1:6" x14ac:dyDescent="0.25">
      <c r="A654" s="14"/>
      <c r="B654" s="14"/>
      <c r="C654" s="19"/>
      <c r="D654" s="18"/>
      <c r="E654" s="18"/>
      <c r="F654" s="18"/>
    </row>
    <row r="655" spans="1:6" x14ac:dyDescent="0.25">
      <c r="A655" s="42"/>
      <c r="B655" s="42"/>
      <c r="C655" s="35" t="s">
        <v>71</v>
      </c>
      <c r="D655" s="36">
        <f>SUM(D589:D654)</f>
        <v>36015000</v>
      </c>
      <c r="E655" s="36">
        <f>SUM(E589:E654)</f>
        <v>13951500</v>
      </c>
      <c r="F655" s="36">
        <f>D655-E655</f>
        <v>22063500</v>
      </c>
    </row>
    <row r="656" spans="1:6" x14ac:dyDescent="0.25">
      <c r="A656" s="85"/>
      <c r="B656" s="85"/>
      <c r="D656" s="38"/>
      <c r="E656" s="38"/>
      <c r="F656" s="38"/>
    </row>
    <row r="657" spans="1:6" x14ac:dyDescent="0.25">
      <c r="A657" s="85"/>
      <c r="B657" s="85"/>
      <c r="D657" s="137" t="s">
        <v>422</v>
      </c>
      <c r="E657" s="137"/>
      <c r="F657" s="137"/>
    </row>
    <row r="658" spans="1:6" x14ac:dyDescent="0.25">
      <c r="A658" s="133" t="s">
        <v>73</v>
      </c>
      <c r="B658" s="133"/>
      <c r="C658" s="133"/>
      <c r="D658" s="137" t="s">
        <v>74</v>
      </c>
      <c r="E658" s="137"/>
      <c r="F658" s="137"/>
    </row>
    <row r="659" spans="1:6" x14ac:dyDescent="0.25">
      <c r="A659" s="85"/>
      <c r="B659" s="85"/>
      <c r="D659" s="38"/>
      <c r="E659" s="38"/>
      <c r="F659" s="38"/>
    </row>
    <row r="660" spans="1:6" x14ac:dyDescent="0.25">
      <c r="A660" s="85"/>
      <c r="B660" s="85"/>
      <c r="D660" s="38"/>
      <c r="E660" s="38"/>
      <c r="F660" s="38"/>
    </row>
    <row r="661" spans="1:6" x14ac:dyDescent="0.25">
      <c r="A661" s="133" t="s">
        <v>75</v>
      </c>
      <c r="B661" s="133"/>
      <c r="C661" s="133"/>
      <c r="D661" s="137" t="s">
        <v>76</v>
      </c>
      <c r="E661" s="137"/>
      <c r="F661" s="137"/>
    </row>
    <row r="662" spans="1:6" x14ac:dyDescent="0.25">
      <c r="A662" s="85"/>
      <c r="B662" s="85"/>
      <c r="D662" s="38"/>
      <c r="E662" s="38"/>
      <c r="F662" s="38"/>
    </row>
    <row r="663" spans="1:6" x14ac:dyDescent="0.25">
      <c r="A663" s="85"/>
      <c r="B663" s="85"/>
      <c r="D663" s="38"/>
      <c r="E663" s="38"/>
      <c r="F663" s="38"/>
    </row>
    <row r="664" spans="1:6" x14ac:dyDescent="0.25">
      <c r="A664" s="85"/>
      <c r="B664" s="85"/>
      <c r="D664" s="38"/>
      <c r="E664" s="38"/>
      <c r="F664" s="38"/>
    </row>
    <row r="665" spans="1:6" x14ac:dyDescent="0.25">
      <c r="A665" s="85"/>
      <c r="B665" s="85"/>
      <c r="D665" s="38"/>
      <c r="E665" s="38"/>
      <c r="F665" s="38"/>
    </row>
    <row r="666" spans="1:6" ht="15.75" x14ac:dyDescent="0.25">
      <c r="A666" s="138" t="s">
        <v>19</v>
      </c>
      <c r="B666" s="139"/>
      <c r="C666" s="139"/>
      <c r="D666" s="139"/>
      <c r="E666" s="139"/>
      <c r="F666" s="140"/>
    </row>
    <row r="667" spans="1:6" ht="15.75" x14ac:dyDescent="0.25">
      <c r="A667" s="141" t="s">
        <v>423</v>
      </c>
      <c r="B667" s="142"/>
      <c r="C667" s="142"/>
      <c r="D667" s="142"/>
      <c r="E667" s="142"/>
      <c r="F667" s="143"/>
    </row>
    <row r="668" spans="1:6" x14ac:dyDescent="0.25">
      <c r="A668" s="14" t="s">
        <v>1</v>
      </c>
      <c r="B668" s="14" t="s">
        <v>21</v>
      </c>
      <c r="C668" s="14" t="s">
        <v>22</v>
      </c>
      <c r="D668" s="15" t="s">
        <v>23</v>
      </c>
      <c r="E668" s="15" t="s">
        <v>24</v>
      </c>
      <c r="F668" s="15" t="s">
        <v>5</v>
      </c>
    </row>
    <row r="669" spans="1:6" x14ac:dyDescent="0.25">
      <c r="A669" s="14">
        <v>1</v>
      </c>
      <c r="B669" s="16">
        <v>45899</v>
      </c>
      <c r="C669" s="104" t="s">
        <v>424</v>
      </c>
      <c r="D669" s="15">
        <v>900000</v>
      </c>
      <c r="E669" s="18"/>
      <c r="F669" s="18"/>
    </row>
    <row r="670" spans="1:6" x14ac:dyDescent="0.25">
      <c r="A670" s="14">
        <v>2</v>
      </c>
      <c r="B670" s="16">
        <v>45899</v>
      </c>
      <c r="C670" s="104" t="s">
        <v>26</v>
      </c>
      <c r="D670" s="15">
        <v>750000</v>
      </c>
      <c r="E670" s="18"/>
      <c r="F670" s="18"/>
    </row>
    <row r="671" spans="1:6" x14ac:dyDescent="0.25">
      <c r="A671" s="14">
        <v>3</v>
      </c>
      <c r="B671" s="16">
        <v>45901</v>
      </c>
      <c r="C671" s="104" t="s">
        <v>312</v>
      </c>
      <c r="D671" s="15">
        <v>625000</v>
      </c>
      <c r="E671" s="18"/>
      <c r="F671" s="18"/>
    </row>
    <row r="672" spans="1:6" x14ac:dyDescent="0.25">
      <c r="A672" s="14">
        <v>4</v>
      </c>
      <c r="B672" s="16">
        <v>45901</v>
      </c>
      <c r="C672" s="104" t="s">
        <v>391</v>
      </c>
      <c r="D672" s="15">
        <v>940000</v>
      </c>
      <c r="E672" s="18"/>
      <c r="F672" s="18"/>
    </row>
    <row r="673" spans="1:6" x14ac:dyDescent="0.25">
      <c r="A673" s="14">
        <v>5</v>
      </c>
      <c r="B673" s="16">
        <v>45901</v>
      </c>
      <c r="C673" s="104" t="s">
        <v>390</v>
      </c>
      <c r="D673" s="15">
        <v>915000</v>
      </c>
      <c r="E673" s="18"/>
      <c r="F673" s="18"/>
    </row>
    <row r="674" spans="1:6" x14ac:dyDescent="0.25">
      <c r="A674" s="14">
        <v>6</v>
      </c>
      <c r="B674" s="16">
        <v>45902</v>
      </c>
      <c r="C674" s="17" t="s">
        <v>27</v>
      </c>
      <c r="D674" s="15">
        <v>1170000</v>
      </c>
      <c r="E674" s="18"/>
      <c r="F674" s="18"/>
    </row>
    <row r="675" spans="1:6" x14ac:dyDescent="0.25">
      <c r="A675" s="14">
        <v>7</v>
      </c>
      <c r="B675" s="16">
        <v>45902</v>
      </c>
      <c r="C675" s="17" t="s">
        <v>392</v>
      </c>
      <c r="D675" s="40">
        <v>775000</v>
      </c>
      <c r="E675" s="18"/>
      <c r="F675" s="18"/>
    </row>
    <row r="676" spans="1:6" x14ac:dyDescent="0.25">
      <c r="A676" s="14">
        <v>8</v>
      </c>
      <c r="B676" s="16">
        <v>45902</v>
      </c>
      <c r="C676" s="17" t="s">
        <v>425</v>
      </c>
      <c r="D676" s="40">
        <v>1375000</v>
      </c>
      <c r="E676" s="18"/>
      <c r="F676" s="18"/>
    </row>
    <row r="677" spans="1:6" x14ac:dyDescent="0.25">
      <c r="A677" s="14">
        <v>9</v>
      </c>
      <c r="B677" s="16">
        <v>45902</v>
      </c>
      <c r="C677" s="17" t="s">
        <v>322</v>
      </c>
      <c r="D677" s="40">
        <v>1375000</v>
      </c>
      <c r="E677" s="18"/>
      <c r="F677" s="18"/>
    </row>
    <row r="678" spans="1:6" x14ac:dyDescent="0.25">
      <c r="A678" s="14">
        <v>10</v>
      </c>
      <c r="B678" s="16">
        <v>45902</v>
      </c>
      <c r="C678" s="104" t="s">
        <v>31</v>
      </c>
      <c r="D678" s="15">
        <v>910000</v>
      </c>
      <c r="E678" s="18"/>
      <c r="F678" s="18"/>
    </row>
    <row r="679" spans="1:6" x14ac:dyDescent="0.25">
      <c r="A679" s="14">
        <v>11</v>
      </c>
      <c r="B679" s="16">
        <v>45902</v>
      </c>
      <c r="C679" s="104" t="s">
        <v>261</v>
      </c>
      <c r="D679" s="15">
        <v>1325000</v>
      </c>
      <c r="E679" s="18"/>
      <c r="F679" s="18"/>
    </row>
    <row r="680" spans="1:6" x14ac:dyDescent="0.25">
      <c r="A680" s="14">
        <v>12</v>
      </c>
      <c r="B680" s="16">
        <v>45903</v>
      </c>
      <c r="C680" s="17" t="s">
        <v>32</v>
      </c>
      <c r="D680" s="40">
        <v>1125000</v>
      </c>
      <c r="E680" s="18"/>
      <c r="F680" s="18"/>
    </row>
    <row r="681" spans="1:6" x14ac:dyDescent="0.25">
      <c r="A681" s="14">
        <v>13</v>
      </c>
      <c r="B681" s="16">
        <v>45904</v>
      </c>
      <c r="C681" s="17" t="s">
        <v>41</v>
      </c>
      <c r="D681" s="40">
        <v>750000</v>
      </c>
      <c r="E681" s="18"/>
      <c r="F681" s="18"/>
    </row>
    <row r="682" spans="1:6" x14ac:dyDescent="0.25">
      <c r="A682" s="14">
        <v>14</v>
      </c>
      <c r="B682" s="16">
        <v>45904</v>
      </c>
      <c r="C682" s="17" t="s">
        <v>317</v>
      </c>
      <c r="D682" s="40">
        <v>1060000</v>
      </c>
      <c r="E682" s="18"/>
      <c r="F682" s="18"/>
    </row>
    <row r="683" spans="1:6" x14ac:dyDescent="0.25">
      <c r="A683" s="14">
        <v>15</v>
      </c>
      <c r="B683" s="16">
        <v>45906</v>
      </c>
      <c r="C683" s="17" t="s">
        <v>310</v>
      </c>
      <c r="D683" s="40">
        <v>1350000</v>
      </c>
      <c r="E683" s="18"/>
      <c r="F683" s="18"/>
    </row>
    <row r="684" spans="1:6" x14ac:dyDescent="0.25">
      <c r="A684" s="14">
        <v>16</v>
      </c>
      <c r="B684" s="16">
        <v>45906</v>
      </c>
      <c r="C684" s="17" t="s">
        <v>90</v>
      </c>
      <c r="D684" s="40">
        <v>1325000</v>
      </c>
      <c r="E684" s="18"/>
      <c r="F684" s="18"/>
    </row>
    <row r="685" spans="1:6" x14ac:dyDescent="0.25">
      <c r="A685" s="14">
        <v>17</v>
      </c>
      <c r="B685" s="16">
        <v>45908</v>
      </c>
      <c r="C685" s="17" t="s">
        <v>389</v>
      </c>
      <c r="D685" s="40">
        <v>2195000</v>
      </c>
      <c r="E685" s="18"/>
      <c r="F685" s="18"/>
    </row>
    <row r="686" spans="1:6" x14ac:dyDescent="0.25">
      <c r="A686" s="14">
        <v>18</v>
      </c>
      <c r="B686" s="16">
        <v>45908</v>
      </c>
      <c r="C686" s="17" t="s">
        <v>33</v>
      </c>
      <c r="D686" s="40">
        <v>650000</v>
      </c>
      <c r="E686" s="18"/>
      <c r="F686" s="18"/>
    </row>
    <row r="687" spans="1:6" x14ac:dyDescent="0.25">
      <c r="A687" s="14">
        <v>19</v>
      </c>
      <c r="B687" s="16">
        <v>45908</v>
      </c>
      <c r="C687" s="17" t="s">
        <v>33</v>
      </c>
      <c r="D687" s="40">
        <v>100000</v>
      </c>
      <c r="E687" s="18"/>
      <c r="F687" s="18"/>
    </row>
    <row r="688" spans="1:6" x14ac:dyDescent="0.25">
      <c r="A688" s="14">
        <v>20</v>
      </c>
      <c r="B688" s="16">
        <v>45908</v>
      </c>
      <c r="C688" s="17" t="s">
        <v>321</v>
      </c>
      <c r="D688" s="40">
        <v>1305000</v>
      </c>
      <c r="E688" s="18"/>
      <c r="F688" s="18"/>
    </row>
    <row r="689" spans="1:6" x14ac:dyDescent="0.25">
      <c r="A689" s="14">
        <v>21</v>
      </c>
      <c r="B689" s="16">
        <v>45908</v>
      </c>
      <c r="C689" s="17" t="s">
        <v>394</v>
      </c>
      <c r="D689" s="40">
        <v>750000</v>
      </c>
      <c r="E689" s="18"/>
      <c r="F689" s="18"/>
    </row>
    <row r="690" spans="1:6" x14ac:dyDescent="0.25">
      <c r="A690" s="14">
        <v>22</v>
      </c>
      <c r="B690" s="16">
        <v>45908</v>
      </c>
      <c r="C690" s="17" t="s">
        <v>399</v>
      </c>
      <c r="D690" s="40">
        <v>1375000</v>
      </c>
      <c r="E690" s="18"/>
      <c r="F690" s="18"/>
    </row>
    <row r="691" spans="1:6" x14ac:dyDescent="0.25">
      <c r="A691" s="14">
        <v>23</v>
      </c>
      <c r="B691" s="16">
        <v>45908</v>
      </c>
      <c r="C691" s="17" t="s">
        <v>313</v>
      </c>
      <c r="D691" s="40">
        <v>1375000</v>
      </c>
      <c r="E691" s="18"/>
      <c r="F691" s="18"/>
    </row>
    <row r="692" spans="1:6" x14ac:dyDescent="0.25">
      <c r="A692" s="14">
        <v>24</v>
      </c>
      <c r="B692" s="16">
        <v>45908</v>
      </c>
      <c r="C692" s="17" t="s">
        <v>426</v>
      </c>
      <c r="D692" s="40">
        <v>850000</v>
      </c>
      <c r="E692" s="18"/>
      <c r="F692" s="18"/>
    </row>
    <row r="693" spans="1:6" x14ac:dyDescent="0.25">
      <c r="A693" s="14">
        <v>25</v>
      </c>
      <c r="B693" s="16">
        <v>45908</v>
      </c>
      <c r="C693" s="17" t="s">
        <v>89</v>
      </c>
      <c r="D693" s="40">
        <v>1250000</v>
      </c>
      <c r="E693" s="18"/>
      <c r="F693" s="18"/>
    </row>
    <row r="694" spans="1:6" x14ac:dyDescent="0.25">
      <c r="A694" s="14">
        <v>26</v>
      </c>
      <c r="B694" s="16">
        <v>45909</v>
      </c>
      <c r="C694" s="17" t="s">
        <v>315</v>
      </c>
      <c r="D694" s="40">
        <v>860000</v>
      </c>
      <c r="E694" s="18"/>
      <c r="F694" s="18"/>
    </row>
    <row r="695" spans="1:6" x14ac:dyDescent="0.25">
      <c r="A695" s="14">
        <v>27</v>
      </c>
      <c r="B695" s="16">
        <v>45910</v>
      </c>
      <c r="C695" s="17" t="s">
        <v>311</v>
      </c>
      <c r="D695" s="40">
        <v>1125000</v>
      </c>
      <c r="E695" s="18"/>
      <c r="F695" s="18"/>
    </row>
    <row r="696" spans="1:6" x14ac:dyDescent="0.25">
      <c r="A696" s="14">
        <v>28</v>
      </c>
      <c r="B696" s="16">
        <v>45911</v>
      </c>
      <c r="C696" s="17" t="s">
        <v>427</v>
      </c>
      <c r="D696" s="40">
        <v>1500000</v>
      </c>
      <c r="E696" s="18"/>
      <c r="F696" s="18"/>
    </row>
    <row r="697" spans="1:6" x14ac:dyDescent="0.25">
      <c r="A697" s="14">
        <v>29</v>
      </c>
      <c r="B697" s="16">
        <v>45912</v>
      </c>
      <c r="C697" s="17" t="s">
        <v>29</v>
      </c>
      <c r="D697" s="40">
        <v>750000</v>
      </c>
      <c r="E697" s="18"/>
      <c r="F697" s="18"/>
    </row>
    <row r="698" spans="1:6" x14ac:dyDescent="0.25">
      <c r="A698" s="14">
        <v>30</v>
      </c>
      <c r="B698" s="16">
        <v>45913</v>
      </c>
      <c r="C698" s="17" t="s">
        <v>45</v>
      </c>
      <c r="D698" s="40">
        <v>1315000</v>
      </c>
      <c r="E698" s="18"/>
      <c r="F698" s="18"/>
    </row>
    <row r="699" spans="1:6" x14ac:dyDescent="0.25">
      <c r="A699" s="14">
        <v>31</v>
      </c>
      <c r="B699" s="16">
        <v>45917</v>
      </c>
      <c r="C699" s="17" t="s">
        <v>320</v>
      </c>
      <c r="D699" s="40">
        <v>1375000</v>
      </c>
      <c r="E699" s="18"/>
      <c r="F699" s="18"/>
    </row>
    <row r="700" spans="1:6" x14ac:dyDescent="0.25">
      <c r="A700" s="14">
        <v>32</v>
      </c>
      <c r="B700" s="16">
        <v>45917</v>
      </c>
      <c r="C700" s="17" t="s">
        <v>42</v>
      </c>
      <c r="D700" s="40">
        <v>1125000</v>
      </c>
      <c r="E700" s="18"/>
      <c r="F700" s="18"/>
    </row>
    <row r="701" spans="1:6" x14ac:dyDescent="0.25">
      <c r="A701" s="14">
        <v>33</v>
      </c>
      <c r="B701" s="16">
        <v>45922</v>
      </c>
      <c r="C701" s="17" t="s">
        <v>319</v>
      </c>
      <c r="D701" s="40">
        <v>800000</v>
      </c>
      <c r="E701" s="18"/>
      <c r="F701" s="18"/>
    </row>
    <row r="702" spans="1:6" x14ac:dyDescent="0.25">
      <c r="A702" s="14">
        <v>34</v>
      </c>
      <c r="B702" s="16">
        <v>45923</v>
      </c>
      <c r="C702" s="17" t="s">
        <v>318</v>
      </c>
      <c r="D702" s="40">
        <v>750000</v>
      </c>
      <c r="E702" s="18"/>
      <c r="F702" s="18"/>
    </row>
    <row r="703" spans="1:6" x14ac:dyDescent="0.25">
      <c r="A703" s="14">
        <v>35</v>
      </c>
      <c r="B703" s="16">
        <v>45924</v>
      </c>
      <c r="C703" s="17" t="s">
        <v>428</v>
      </c>
      <c r="D703" s="40">
        <v>1860000</v>
      </c>
      <c r="E703" s="18"/>
      <c r="F703" s="18"/>
    </row>
    <row r="704" spans="1:6" x14ac:dyDescent="0.25">
      <c r="A704" s="14">
        <v>36</v>
      </c>
      <c r="B704" s="16">
        <v>45924</v>
      </c>
      <c r="C704" s="17" t="s">
        <v>37</v>
      </c>
      <c r="D704" s="40">
        <v>75000</v>
      </c>
      <c r="E704" s="18"/>
      <c r="F704" s="18"/>
    </row>
    <row r="705" spans="1:6" x14ac:dyDescent="0.25">
      <c r="A705" s="14"/>
      <c r="B705" s="16"/>
      <c r="C705" s="41" t="s">
        <v>132</v>
      </c>
      <c r="D705" s="40"/>
      <c r="E705" s="18"/>
      <c r="F705" s="18"/>
    </row>
    <row r="706" spans="1:6" ht="15.75" x14ac:dyDescent="0.25">
      <c r="A706" s="14">
        <v>37</v>
      </c>
      <c r="B706" s="16"/>
      <c r="C706" s="21" t="s">
        <v>50</v>
      </c>
      <c r="D706" s="18"/>
      <c r="E706" s="116">
        <v>1450000</v>
      </c>
      <c r="F706" s="18"/>
    </row>
    <row r="707" spans="1:6" ht="15.75" x14ac:dyDescent="0.25">
      <c r="A707" s="14">
        <v>38</v>
      </c>
      <c r="B707" s="14"/>
      <c r="C707" s="21" t="s">
        <v>51</v>
      </c>
      <c r="D707" s="18"/>
      <c r="E707" s="116">
        <v>1450000</v>
      </c>
      <c r="F707" s="18"/>
    </row>
    <row r="708" spans="1:6" ht="15.75" x14ac:dyDescent="0.25">
      <c r="A708" s="14">
        <v>39</v>
      </c>
      <c r="B708" s="14"/>
      <c r="C708" s="21" t="s">
        <v>429</v>
      </c>
      <c r="D708" s="18"/>
      <c r="E708" s="116">
        <v>1350000</v>
      </c>
      <c r="F708" s="18"/>
    </row>
    <row r="709" spans="1:6" ht="15.75" x14ac:dyDescent="0.25">
      <c r="A709" s="14">
        <v>40</v>
      </c>
      <c r="B709" s="14"/>
      <c r="C709" s="21" t="s">
        <v>401</v>
      </c>
      <c r="D709" s="18"/>
      <c r="E709" s="116">
        <v>1200000</v>
      </c>
      <c r="F709" s="18"/>
    </row>
    <row r="710" spans="1:6" ht="15.75" x14ac:dyDescent="0.25">
      <c r="A710" s="14">
        <v>41</v>
      </c>
      <c r="B710" s="14"/>
      <c r="C710" s="21" t="s">
        <v>402</v>
      </c>
      <c r="D710" s="40"/>
      <c r="E710" s="116">
        <v>1200000</v>
      </c>
      <c r="F710" s="18"/>
    </row>
    <row r="711" spans="1:6" ht="15.75" x14ac:dyDescent="0.25">
      <c r="A711" s="14">
        <v>42</v>
      </c>
      <c r="B711" s="16"/>
      <c r="C711" s="21" t="s">
        <v>430</v>
      </c>
      <c r="D711" s="40"/>
      <c r="E711" s="116">
        <v>1200000</v>
      </c>
      <c r="F711" s="18"/>
    </row>
    <row r="712" spans="1:6" ht="15.75" x14ac:dyDescent="0.25">
      <c r="A712" s="14">
        <v>43</v>
      </c>
      <c r="B712" s="16"/>
      <c r="C712" s="21" t="s">
        <v>431</v>
      </c>
      <c r="D712" s="40"/>
      <c r="E712" s="116">
        <v>1200000</v>
      </c>
      <c r="F712" s="18"/>
    </row>
    <row r="713" spans="1:6" x14ac:dyDescent="0.25">
      <c r="A713" s="14">
        <v>53</v>
      </c>
      <c r="B713" s="16"/>
      <c r="C713" s="17" t="s">
        <v>337</v>
      </c>
      <c r="D713" s="40"/>
      <c r="E713" s="40">
        <v>175000</v>
      </c>
      <c r="F713" s="18"/>
    </row>
    <row r="714" spans="1:6" x14ac:dyDescent="0.25">
      <c r="A714" s="14">
        <v>54</v>
      </c>
      <c r="B714" s="16"/>
      <c r="C714" s="17" t="s">
        <v>68</v>
      </c>
      <c r="D714" s="40"/>
      <c r="E714" s="40">
        <v>25000</v>
      </c>
      <c r="F714" s="18"/>
    </row>
    <row r="715" spans="1:6" x14ac:dyDescent="0.25">
      <c r="A715" s="22">
        <v>55</v>
      </c>
      <c r="B715" s="105"/>
      <c r="C715" s="106" t="s">
        <v>438</v>
      </c>
      <c r="D715" s="46"/>
      <c r="E715" s="46">
        <v>70000</v>
      </c>
      <c r="F715" s="25"/>
    </row>
    <row r="716" spans="1:6" x14ac:dyDescent="0.25">
      <c r="A716" s="14">
        <v>44</v>
      </c>
      <c r="B716" s="16"/>
      <c r="C716" s="17" t="s">
        <v>55</v>
      </c>
      <c r="D716" s="40"/>
      <c r="E716" s="18">
        <v>1020000</v>
      </c>
      <c r="F716" s="18"/>
    </row>
    <row r="717" spans="1:6" x14ac:dyDescent="0.25">
      <c r="A717" s="14">
        <v>46</v>
      </c>
      <c r="B717" s="16"/>
      <c r="C717" s="17" t="s">
        <v>432</v>
      </c>
      <c r="D717" s="40"/>
      <c r="E717" s="40">
        <v>2220000</v>
      </c>
      <c r="F717" s="18"/>
    </row>
    <row r="718" spans="1:6" x14ac:dyDescent="0.25">
      <c r="A718" s="14">
        <v>60</v>
      </c>
      <c r="B718" s="16"/>
      <c r="C718" s="17" t="s">
        <v>444</v>
      </c>
      <c r="D718" s="40"/>
      <c r="E718" s="40">
        <v>66000</v>
      </c>
      <c r="F718" s="18"/>
    </row>
    <row r="719" spans="1:6" x14ac:dyDescent="0.25">
      <c r="A719" s="14">
        <v>61</v>
      </c>
      <c r="B719" s="16">
        <v>45908</v>
      </c>
      <c r="C719" s="17" t="s">
        <v>445</v>
      </c>
      <c r="D719" s="40"/>
      <c r="E719" s="40">
        <v>104000</v>
      </c>
      <c r="F719" s="18"/>
    </row>
    <row r="720" spans="1:6" x14ac:dyDescent="0.25">
      <c r="A720" s="14">
        <v>62</v>
      </c>
      <c r="B720" s="16"/>
      <c r="C720" s="17" t="s">
        <v>446</v>
      </c>
      <c r="D720" s="40"/>
      <c r="E720" s="40">
        <v>170000</v>
      </c>
      <c r="F720" s="18"/>
    </row>
    <row r="721" spans="1:6" x14ac:dyDescent="0.25">
      <c r="A721" s="14">
        <v>63</v>
      </c>
      <c r="B721" s="16"/>
      <c r="C721" s="17" t="s">
        <v>447</v>
      </c>
      <c r="D721" s="40"/>
      <c r="E721" s="40">
        <v>100000</v>
      </c>
      <c r="F721" s="18"/>
    </row>
    <row r="722" spans="1:6" x14ac:dyDescent="0.25">
      <c r="A722" s="14">
        <v>51</v>
      </c>
      <c r="B722" s="16"/>
      <c r="C722" s="17" t="s">
        <v>94</v>
      </c>
      <c r="D722" s="40"/>
      <c r="E722" s="40">
        <v>305000</v>
      </c>
      <c r="F722" s="18"/>
    </row>
    <row r="723" spans="1:6" x14ac:dyDescent="0.25">
      <c r="A723" s="14">
        <v>74</v>
      </c>
      <c r="B723" s="16">
        <v>45928</v>
      </c>
      <c r="C723" s="17" t="s">
        <v>457</v>
      </c>
      <c r="D723" s="40"/>
      <c r="E723" s="18">
        <v>100000</v>
      </c>
      <c r="F723" s="18"/>
    </row>
    <row r="724" spans="1:6" x14ac:dyDescent="0.25">
      <c r="A724" s="14">
        <v>52</v>
      </c>
      <c r="B724" s="16"/>
      <c r="C724" s="17" t="s">
        <v>437</v>
      </c>
      <c r="D724" s="40"/>
      <c r="E724" s="116">
        <v>1510000</v>
      </c>
      <c r="F724" s="18"/>
    </row>
    <row r="725" spans="1:6" x14ac:dyDescent="0.25">
      <c r="A725" s="14">
        <v>47</v>
      </c>
      <c r="B725" s="16"/>
      <c r="C725" s="17" t="s">
        <v>433</v>
      </c>
      <c r="D725" s="40"/>
      <c r="E725" s="116">
        <v>152000</v>
      </c>
      <c r="F725" s="18"/>
    </row>
    <row r="726" spans="1:6" x14ac:dyDescent="0.25">
      <c r="A726" s="14">
        <v>48</v>
      </c>
      <c r="B726" s="16"/>
      <c r="C726" s="17" t="s">
        <v>434</v>
      </c>
      <c r="D726" s="40"/>
      <c r="E726" s="116">
        <v>104000</v>
      </c>
      <c r="F726" s="18"/>
    </row>
    <row r="727" spans="1:6" x14ac:dyDescent="0.25">
      <c r="A727" s="144">
        <v>56</v>
      </c>
      <c r="B727" s="148"/>
      <c r="C727" s="106" t="s">
        <v>439</v>
      </c>
      <c r="D727" s="46"/>
      <c r="E727" s="46">
        <v>586500</v>
      </c>
      <c r="F727" s="150"/>
    </row>
    <row r="728" spans="1:6" x14ac:dyDescent="0.25">
      <c r="A728" s="145"/>
      <c r="B728" s="149"/>
      <c r="C728" s="64" t="s">
        <v>440</v>
      </c>
      <c r="D728" s="54"/>
      <c r="E728" s="54"/>
      <c r="F728" s="151"/>
    </row>
    <row r="729" spans="1:6" x14ac:dyDescent="0.25">
      <c r="A729" s="29">
        <v>57</v>
      </c>
      <c r="B729" s="98"/>
      <c r="C729" s="64" t="s">
        <v>441</v>
      </c>
      <c r="D729" s="54"/>
      <c r="E729" s="54">
        <v>54000</v>
      </c>
      <c r="F729" s="32"/>
    </row>
    <row r="730" spans="1:6" x14ac:dyDescent="0.25">
      <c r="A730" s="14">
        <v>49</v>
      </c>
      <c r="B730" s="16"/>
      <c r="C730" s="17" t="s">
        <v>435</v>
      </c>
      <c r="D730" s="40"/>
      <c r="E730" s="40">
        <v>31500</v>
      </c>
      <c r="F730" s="18"/>
    </row>
    <row r="731" spans="1:6" x14ac:dyDescent="0.25">
      <c r="A731" s="14">
        <v>50</v>
      </c>
      <c r="B731" s="16"/>
      <c r="C731" s="17" t="s">
        <v>436</v>
      </c>
      <c r="D731" s="40"/>
      <c r="E731" s="40">
        <v>38000</v>
      </c>
      <c r="F731" s="18"/>
    </row>
    <row r="732" spans="1:6" x14ac:dyDescent="0.25">
      <c r="A732" s="14">
        <v>58</v>
      </c>
      <c r="B732" s="16"/>
      <c r="C732" s="17" t="s">
        <v>442</v>
      </c>
      <c r="D732" s="40"/>
      <c r="E732" s="40">
        <v>100000</v>
      </c>
      <c r="F732" s="18"/>
    </row>
    <row r="733" spans="1:6" x14ac:dyDescent="0.25">
      <c r="A733" s="144">
        <v>59</v>
      </c>
      <c r="B733" s="148"/>
      <c r="C733" s="152" t="s">
        <v>443</v>
      </c>
      <c r="D733" s="154"/>
      <c r="E733" s="156">
        <v>260000</v>
      </c>
      <c r="F733" s="150"/>
    </row>
    <row r="734" spans="1:6" x14ac:dyDescent="0.25">
      <c r="A734" s="145"/>
      <c r="B734" s="149"/>
      <c r="C734" s="153"/>
      <c r="D734" s="155"/>
      <c r="E734" s="157"/>
      <c r="F734" s="151"/>
    </row>
    <row r="735" spans="1:6" ht="30" x14ac:dyDescent="0.25">
      <c r="A735" s="107">
        <v>64</v>
      </c>
      <c r="B735" s="16"/>
      <c r="C735" s="108" t="s">
        <v>448</v>
      </c>
      <c r="D735" s="40"/>
      <c r="E735" s="109">
        <v>1350000</v>
      </c>
      <c r="F735" s="18"/>
    </row>
    <row r="736" spans="1:6" x14ac:dyDescent="0.25">
      <c r="A736" s="14">
        <v>65</v>
      </c>
      <c r="B736" s="16"/>
      <c r="C736" s="17" t="s">
        <v>449</v>
      </c>
      <c r="D736" s="40"/>
      <c r="E736" s="40">
        <v>650000</v>
      </c>
      <c r="F736" s="18"/>
    </row>
    <row r="737" spans="1:6" x14ac:dyDescent="0.25">
      <c r="A737" s="14">
        <v>66</v>
      </c>
      <c r="B737" s="16"/>
      <c r="C737" s="17" t="s">
        <v>450</v>
      </c>
      <c r="D737" s="40"/>
      <c r="E737" s="40">
        <v>507000</v>
      </c>
      <c r="F737" s="18"/>
    </row>
    <row r="738" spans="1:6" x14ac:dyDescent="0.25">
      <c r="A738" s="14">
        <v>67</v>
      </c>
      <c r="B738" s="16"/>
      <c r="C738" s="17" t="s">
        <v>172</v>
      </c>
      <c r="D738" s="40"/>
      <c r="E738" s="40">
        <v>50000</v>
      </c>
      <c r="F738" s="18"/>
    </row>
    <row r="739" spans="1:6" x14ac:dyDescent="0.25">
      <c r="A739" s="14">
        <v>68</v>
      </c>
      <c r="B739" s="16"/>
      <c r="C739" s="17" t="s">
        <v>451</v>
      </c>
      <c r="D739" s="40"/>
      <c r="E739" s="40">
        <v>279000</v>
      </c>
      <c r="F739" s="18"/>
    </row>
    <row r="740" spans="1:6" x14ac:dyDescent="0.25">
      <c r="A740" s="14">
        <v>69</v>
      </c>
      <c r="B740" s="16"/>
      <c r="C740" s="17" t="s">
        <v>452</v>
      </c>
      <c r="D740" s="40"/>
      <c r="E740" s="40">
        <v>340000</v>
      </c>
      <c r="F740" s="18"/>
    </row>
    <row r="741" spans="1:6" x14ac:dyDescent="0.25">
      <c r="A741" s="14">
        <v>71</v>
      </c>
      <c r="B741" s="16"/>
      <c r="C741" s="17" t="s">
        <v>454</v>
      </c>
      <c r="D741" s="40"/>
      <c r="E741" s="40">
        <v>240000</v>
      </c>
      <c r="F741" s="18"/>
    </row>
    <row r="742" spans="1:6" x14ac:dyDescent="0.25">
      <c r="A742" s="14">
        <v>72</v>
      </c>
      <c r="B742" s="16"/>
      <c r="C742" s="17" t="s">
        <v>455</v>
      </c>
      <c r="D742" s="40"/>
      <c r="E742" s="40">
        <v>24000</v>
      </c>
      <c r="F742" s="18"/>
    </row>
    <row r="743" spans="1:6" x14ac:dyDescent="0.25">
      <c r="A743" s="14">
        <v>73</v>
      </c>
      <c r="B743" s="16"/>
      <c r="C743" s="17" t="s">
        <v>456</v>
      </c>
      <c r="D743" s="40"/>
      <c r="E743" s="40">
        <v>49800</v>
      </c>
      <c r="F743" s="18"/>
    </row>
    <row r="744" spans="1:6" ht="45" x14ac:dyDescent="0.25">
      <c r="A744" s="107">
        <v>75</v>
      </c>
      <c r="B744" s="16"/>
      <c r="C744" s="110" t="s">
        <v>458</v>
      </c>
      <c r="D744" s="40"/>
      <c r="E744" s="18">
        <v>72000</v>
      </c>
      <c r="F744" s="18"/>
    </row>
    <row r="745" spans="1:6" x14ac:dyDescent="0.25">
      <c r="A745" s="14">
        <v>45</v>
      </c>
      <c r="B745" s="16"/>
      <c r="C745" s="17" t="s">
        <v>54</v>
      </c>
      <c r="D745" s="40"/>
      <c r="E745" s="40">
        <v>200000</v>
      </c>
      <c r="F745" s="18"/>
    </row>
    <row r="746" spans="1:6" x14ac:dyDescent="0.25">
      <c r="A746" s="14">
        <v>70</v>
      </c>
      <c r="B746" s="16"/>
      <c r="C746" s="17" t="s">
        <v>453</v>
      </c>
      <c r="D746" s="40"/>
      <c r="E746" s="116">
        <v>7586000</v>
      </c>
      <c r="F746" s="18"/>
    </row>
    <row r="747" spans="1:6" x14ac:dyDescent="0.25">
      <c r="A747" s="14"/>
      <c r="B747" s="14"/>
      <c r="C747" s="19"/>
      <c r="D747" s="18"/>
      <c r="E747" s="18"/>
      <c r="F747" s="18"/>
    </row>
    <row r="748" spans="1:6" x14ac:dyDescent="0.25">
      <c r="A748" s="111"/>
      <c r="B748" s="111"/>
      <c r="C748" s="35" t="s">
        <v>71</v>
      </c>
      <c r="D748" s="36">
        <f>SUM(D669:D747)</f>
        <v>38055000</v>
      </c>
      <c r="E748" s="36">
        <f>SUM(E706:E747)</f>
        <v>27588800</v>
      </c>
      <c r="F748" s="36">
        <f>D748-E748</f>
        <v>10466200</v>
      </c>
    </row>
    <row r="749" spans="1:6" x14ac:dyDescent="0.25">
      <c r="A749" s="85"/>
      <c r="B749" s="85"/>
      <c r="D749" s="38"/>
      <c r="E749" s="38"/>
      <c r="F749" s="38"/>
    </row>
    <row r="750" spans="1:6" x14ac:dyDescent="0.25">
      <c r="A750" s="85"/>
      <c r="B750" s="85"/>
      <c r="D750" s="137" t="s">
        <v>459</v>
      </c>
      <c r="E750" s="137"/>
      <c r="F750" s="137"/>
    </row>
    <row r="751" spans="1:6" x14ac:dyDescent="0.25">
      <c r="A751" s="133" t="s">
        <v>73</v>
      </c>
      <c r="B751" s="133"/>
      <c r="C751" s="133"/>
      <c r="D751" s="137" t="s">
        <v>74</v>
      </c>
      <c r="E751" s="137"/>
      <c r="F751" s="137"/>
    </row>
    <row r="752" spans="1:6" x14ac:dyDescent="0.25">
      <c r="A752" s="85"/>
      <c r="B752" s="85"/>
      <c r="D752" s="38"/>
      <c r="E752" s="38"/>
      <c r="F752" s="38"/>
    </row>
    <row r="753" spans="1:6" x14ac:dyDescent="0.25">
      <c r="A753" s="85"/>
      <c r="B753" s="85"/>
      <c r="D753" s="38"/>
      <c r="E753" s="38"/>
      <c r="F753" s="38"/>
    </row>
    <row r="754" spans="1:6" x14ac:dyDescent="0.25">
      <c r="A754" s="133" t="s">
        <v>75</v>
      </c>
      <c r="B754" s="133"/>
      <c r="C754" s="133"/>
      <c r="D754" s="137" t="s">
        <v>76</v>
      </c>
      <c r="E754" s="137"/>
      <c r="F754" s="137"/>
    </row>
  </sheetData>
  <mergeCells count="76">
    <mergeCell ref="K2:L2"/>
    <mergeCell ref="F733:F734"/>
    <mergeCell ref="D750:F750"/>
    <mergeCell ref="A751:C751"/>
    <mergeCell ref="D751:F751"/>
    <mergeCell ref="A754:C754"/>
    <mergeCell ref="D754:F754"/>
    <mergeCell ref="A733:A734"/>
    <mergeCell ref="B733:B734"/>
    <mergeCell ref="C733:C734"/>
    <mergeCell ref="D733:D734"/>
    <mergeCell ref="E733:E734"/>
    <mergeCell ref="A666:F666"/>
    <mergeCell ref="A667:F667"/>
    <mergeCell ref="A727:A728"/>
    <mergeCell ref="B727:B728"/>
    <mergeCell ref="F727:F728"/>
    <mergeCell ref="A587:F587"/>
    <mergeCell ref="D657:F657"/>
    <mergeCell ref="A658:C658"/>
    <mergeCell ref="D658:F658"/>
    <mergeCell ref="A661:C661"/>
    <mergeCell ref="D661:F661"/>
    <mergeCell ref="A580:C580"/>
    <mergeCell ref="D580:F580"/>
    <mergeCell ref="A583:C583"/>
    <mergeCell ref="D583:F583"/>
    <mergeCell ref="A586:F586"/>
    <mergeCell ref="A457:F457"/>
    <mergeCell ref="A510:A511"/>
    <mergeCell ref="E510:E511"/>
    <mergeCell ref="A540:A541"/>
    <mergeCell ref="D579:F579"/>
    <mergeCell ref="A450:C450"/>
    <mergeCell ref="D450:F450"/>
    <mergeCell ref="A453:C453"/>
    <mergeCell ref="D453:F453"/>
    <mergeCell ref="A456:F456"/>
    <mergeCell ref="A354:C354"/>
    <mergeCell ref="D354:F354"/>
    <mergeCell ref="A357:F357"/>
    <mergeCell ref="A358:F358"/>
    <mergeCell ref="D449:F449"/>
    <mergeCell ref="A174:F174"/>
    <mergeCell ref="A175:F175"/>
    <mergeCell ref="D240:F240"/>
    <mergeCell ref="A241:C241"/>
    <mergeCell ref="D241:F241"/>
    <mergeCell ref="A244:C244"/>
    <mergeCell ref="D244:F244"/>
    <mergeCell ref="A248:F248"/>
    <mergeCell ref="A249:F249"/>
    <mergeCell ref="D351:F351"/>
    <mergeCell ref="D350:F350"/>
    <mergeCell ref="A351:C351"/>
    <mergeCell ref="A171:C171"/>
    <mergeCell ref="D171:F171"/>
    <mergeCell ref="A66:F66"/>
    <mergeCell ref="A67:F67"/>
    <mergeCell ref="D115:F115"/>
    <mergeCell ref="A116:C116"/>
    <mergeCell ref="D116:F116"/>
    <mergeCell ref="A119:C119"/>
    <mergeCell ref="D119:F119"/>
    <mergeCell ref="A122:F122"/>
    <mergeCell ref="A123:F123"/>
    <mergeCell ref="D167:F167"/>
    <mergeCell ref="A168:C168"/>
    <mergeCell ref="D168:F168"/>
    <mergeCell ref="A63:C63"/>
    <mergeCell ref="D63:F63"/>
    <mergeCell ref="A1:F1"/>
    <mergeCell ref="A2:F2"/>
    <mergeCell ref="D59:F59"/>
    <mergeCell ref="A60:C60"/>
    <mergeCell ref="D60:F60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DC 2022 - 2025.</vt:lpstr>
      <vt:lpstr>Lap Per bln 25</vt:lpstr>
      <vt:lpstr>Olah data</vt:lpstr>
      <vt:lpstr>'TOTAL DC 2022 - 2025.'!Print_Area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Masjid</cp:lastModifiedBy>
  <cp:lastPrinted>2025-10-25T07:05:43Z</cp:lastPrinted>
  <dcterms:created xsi:type="dcterms:W3CDTF">2025-06-02T06:44:36Z</dcterms:created>
  <dcterms:modified xsi:type="dcterms:W3CDTF">2025-11-15T06:17:15Z</dcterms:modified>
</cp:coreProperties>
</file>